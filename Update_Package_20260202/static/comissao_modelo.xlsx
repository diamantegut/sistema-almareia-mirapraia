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si\Desktop\RH-DP\"/>
    </mc:Choice>
  </mc:AlternateContent>
  <xr:revisionPtr revIDLastSave="0" documentId="13_ncr:1_{256069CB-E93F-4421-A7FD-F0CC9D8E335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ditavel" sheetId="1" r:id="rId1"/>
    <sheet name="Funcionarios" sheetId="2" r:id="rId2"/>
    <sheet name="Departamentos" sheetId="3" r:id="rId3"/>
    <sheet name="Distribuicao" sheetId="4" r:id="rId4"/>
  </sheets>
  <definedNames>
    <definedName name="_xlnm.Print_Area" localSheetId="0">Editavel!$A$1:$W$36</definedName>
    <definedName name="ListaDepartamentos">Funcionarios!$I$2:$I$7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3" i="4" l="1"/>
  <c r="B53" i="4"/>
  <c r="C53" i="4"/>
  <c r="D53" i="4"/>
  <c r="E53" i="4"/>
  <c r="F53" i="4"/>
  <c r="A54" i="4"/>
  <c r="B54" i="4"/>
  <c r="C54" i="4"/>
  <c r="D54" i="4"/>
  <c r="E54" i="4"/>
  <c r="F54" i="4"/>
  <c r="A55" i="4"/>
  <c r="B55" i="4"/>
  <c r="C55" i="4"/>
  <c r="D55" i="4"/>
  <c r="E55" i="4"/>
  <c r="F55" i="4"/>
  <c r="A56" i="4"/>
  <c r="B56" i="4"/>
  <c r="C56" i="4"/>
  <c r="D56" i="4"/>
  <c r="E56" i="4"/>
  <c r="F56" i="4"/>
  <c r="A43" i="4"/>
  <c r="B43" i="4"/>
  <c r="D43" i="4"/>
  <c r="E43" i="4"/>
  <c r="F43" i="4"/>
  <c r="A44" i="4"/>
  <c r="B44" i="4"/>
  <c r="D44" i="4"/>
  <c r="E44" i="4"/>
  <c r="F44" i="4"/>
  <c r="A45" i="4"/>
  <c r="B45" i="4"/>
  <c r="D45" i="4"/>
  <c r="E45" i="4"/>
  <c r="F45" i="4"/>
  <c r="A46" i="4"/>
  <c r="B46" i="4"/>
  <c r="C46" i="4"/>
  <c r="D46" i="4"/>
  <c r="E46" i="4"/>
  <c r="F46" i="4"/>
  <c r="A47" i="4"/>
  <c r="B47" i="4"/>
  <c r="C47" i="4"/>
  <c r="D47" i="4"/>
  <c r="E47" i="4"/>
  <c r="F47" i="4"/>
  <c r="A48" i="4"/>
  <c r="B48" i="4"/>
  <c r="C48" i="4"/>
  <c r="D48" i="4"/>
  <c r="E48" i="4"/>
  <c r="F48" i="4"/>
  <c r="A49" i="4"/>
  <c r="B49" i="4"/>
  <c r="C49" i="4"/>
  <c r="D49" i="4"/>
  <c r="E49" i="4"/>
  <c r="F49" i="4"/>
  <c r="A50" i="4"/>
  <c r="B50" i="4"/>
  <c r="C50" i="4"/>
  <c r="D50" i="4"/>
  <c r="E50" i="4"/>
  <c r="F50" i="4"/>
  <c r="A51" i="4"/>
  <c r="B51" i="4"/>
  <c r="C51" i="4"/>
  <c r="D51" i="4"/>
  <c r="E51" i="4"/>
  <c r="F51" i="4"/>
  <c r="A52" i="4"/>
  <c r="B52" i="4"/>
  <c r="C52" i="4"/>
  <c r="D52" i="4"/>
  <c r="E52" i="4"/>
  <c r="F52" i="4"/>
  <c r="F202" i="4"/>
  <c r="E202" i="4"/>
  <c r="D202" i="4"/>
  <c r="C202" i="4"/>
  <c r="B202" i="4"/>
  <c r="A202" i="4"/>
  <c r="F201" i="4"/>
  <c r="E201" i="4"/>
  <c r="D201" i="4"/>
  <c r="C201" i="4"/>
  <c r="B201" i="4"/>
  <c r="A201" i="4"/>
  <c r="F200" i="4"/>
  <c r="E200" i="4"/>
  <c r="D200" i="4"/>
  <c r="C200" i="4"/>
  <c r="B200" i="4"/>
  <c r="A200" i="4"/>
  <c r="F199" i="4"/>
  <c r="E199" i="4"/>
  <c r="D199" i="4"/>
  <c r="C199" i="4"/>
  <c r="B199" i="4"/>
  <c r="A199" i="4"/>
  <c r="F198" i="4"/>
  <c r="E198" i="4"/>
  <c r="D198" i="4"/>
  <c r="C198" i="4"/>
  <c r="B198" i="4"/>
  <c r="A198" i="4"/>
  <c r="F197" i="4"/>
  <c r="E197" i="4"/>
  <c r="D197" i="4"/>
  <c r="C197" i="4"/>
  <c r="B197" i="4"/>
  <c r="A197" i="4"/>
  <c r="F196" i="4"/>
  <c r="E196" i="4"/>
  <c r="D196" i="4"/>
  <c r="C196" i="4"/>
  <c r="B196" i="4"/>
  <c r="A196" i="4"/>
  <c r="F195" i="4"/>
  <c r="E195" i="4"/>
  <c r="D195" i="4"/>
  <c r="C195" i="4"/>
  <c r="B195" i="4"/>
  <c r="A195" i="4"/>
  <c r="F194" i="4"/>
  <c r="E194" i="4"/>
  <c r="D194" i="4"/>
  <c r="C194" i="4"/>
  <c r="B194" i="4"/>
  <c r="A194" i="4"/>
  <c r="F193" i="4"/>
  <c r="E193" i="4"/>
  <c r="D193" i="4"/>
  <c r="C193" i="4"/>
  <c r="B193" i="4"/>
  <c r="A193" i="4"/>
  <c r="F192" i="4"/>
  <c r="E192" i="4"/>
  <c r="D192" i="4"/>
  <c r="C192" i="4"/>
  <c r="B192" i="4"/>
  <c r="A192" i="4"/>
  <c r="F191" i="4"/>
  <c r="E191" i="4"/>
  <c r="D191" i="4"/>
  <c r="C191" i="4"/>
  <c r="B191" i="4"/>
  <c r="A191" i="4"/>
  <c r="F190" i="4"/>
  <c r="E190" i="4"/>
  <c r="D190" i="4"/>
  <c r="C190" i="4"/>
  <c r="B190" i="4"/>
  <c r="A190" i="4"/>
  <c r="F189" i="4"/>
  <c r="E189" i="4"/>
  <c r="D189" i="4"/>
  <c r="C189" i="4"/>
  <c r="B189" i="4"/>
  <c r="A189" i="4"/>
  <c r="F188" i="4"/>
  <c r="E188" i="4"/>
  <c r="D188" i="4"/>
  <c r="C188" i="4"/>
  <c r="B188" i="4"/>
  <c r="A188" i="4"/>
  <c r="F187" i="4"/>
  <c r="E187" i="4"/>
  <c r="D187" i="4"/>
  <c r="C187" i="4"/>
  <c r="B187" i="4"/>
  <c r="A187" i="4"/>
  <c r="F186" i="4"/>
  <c r="E186" i="4"/>
  <c r="D186" i="4"/>
  <c r="C186" i="4"/>
  <c r="B186" i="4"/>
  <c r="A186" i="4"/>
  <c r="F185" i="4"/>
  <c r="E185" i="4"/>
  <c r="D185" i="4"/>
  <c r="C185" i="4"/>
  <c r="B185" i="4"/>
  <c r="A185" i="4"/>
  <c r="F184" i="4"/>
  <c r="E184" i="4"/>
  <c r="D184" i="4"/>
  <c r="C184" i="4"/>
  <c r="B184" i="4"/>
  <c r="A184" i="4"/>
  <c r="F183" i="4"/>
  <c r="E183" i="4"/>
  <c r="D183" i="4"/>
  <c r="C183" i="4"/>
  <c r="B183" i="4"/>
  <c r="A183" i="4"/>
  <c r="F182" i="4"/>
  <c r="E182" i="4"/>
  <c r="D182" i="4"/>
  <c r="C182" i="4"/>
  <c r="B182" i="4"/>
  <c r="A182" i="4"/>
  <c r="F181" i="4"/>
  <c r="E181" i="4"/>
  <c r="D181" i="4"/>
  <c r="C181" i="4"/>
  <c r="B181" i="4"/>
  <c r="A181" i="4"/>
  <c r="F180" i="4"/>
  <c r="E180" i="4"/>
  <c r="D180" i="4"/>
  <c r="C180" i="4"/>
  <c r="B180" i="4"/>
  <c r="A180" i="4"/>
  <c r="F179" i="4"/>
  <c r="E179" i="4"/>
  <c r="D179" i="4"/>
  <c r="C179" i="4"/>
  <c r="B179" i="4"/>
  <c r="A179" i="4"/>
  <c r="F178" i="4"/>
  <c r="E178" i="4"/>
  <c r="D178" i="4"/>
  <c r="C178" i="4"/>
  <c r="B178" i="4"/>
  <c r="A178" i="4"/>
  <c r="F177" i="4"/>
  <c r="E177" i="4"/>
  <c r="D177" i="4"/>
  <c r="C177" i="4"/>
  <c r="B177" i="4"/>
  <c r="A177" i="4"/>
  <c r="F176" i="4"/>
  <c r="E176" i="4"/>
  <c r="D176" i="4"/>
  <c r="C176" i="4"/>
  <c r="B176" i="4"/>
  <c r="A176" i="4"/>
  <c r="F175" i="4"/>
  <c r="E175" i="4"/>
  <c r="D175" i="4"/>
  <c r="C175" i="4"/>
  <c r="B175" i="4"/>
  <c r="A175" i="4"/>
  <c r="F174" i="4"/>
  <c r="E174" i="4"/>
  <c r="D174" i="4"/>
  <c r="C174" i="4"/>
  <c r="B174" i="4"/>
  <c r="A174" i="4"/>
  <c r="F173" i="4"/>
  <c r="E173" i="4"/>
  <c r="D173" i="4"/>
  <c r="C173" i="4"/>
  <c r="B173" i="4"/>
  <c r="A173" i="4"/>
  <c r="F172" i="4"/>
  <c r="E172" i="4"/>
  <c r="D172" i="4"/>
  <c r="C172" i="4"/>
  <c r="B172" i="4"/>
  <c r="A172" i="4"/>
  <c r="F171" i="4"/>
  <c r="E171" i="4"/>
  <c r="D171" i="4"/>
  <c r="C171" i="4"/>
  <c r="B171" i="4"/>
  <c r="A171" i="4"/>
  <c r="F170" i="4"/>
  <c r="E170" i="4"/>
  <c r="D170" i="4"/>
  <c r="C170" i="4"/>
  <c r="B170" i="4"/>
  <c r="A170" i="4"/>
  <c r="F169" i="4"/>
  <c r="E169" i="4"/>
  <c r="D169" i="4"/>
  <c r="C169" i="4"/>
  <c r="B169" i="4"/>
  <c r="A169" i="4"/>
  <c r="F168" i="4"/>
  <c r="E168" i="4"/>
  <c r="D168" i="4"/>
  <c r="C168" i="4"/>
  <c r="B168" i="4"/>
  <c r="A168" i="4"/>
  <c r="F167" i="4"/>
  <c r="E167" i="4"/>
  <c r="D167" i="4"/>
  <c r="C167" i="4"/>
  <c r="B167" i="4"/>
  <c r="A167" i="4"/>
  <c r="F166" i="4"/>
  <c r="E166" i="4"/>
  <c r="D166" i="4"/>
  <c r="C166" i="4"/>
  <c r="B166" i="4"/>
  <c r="A166" i="4"/>
  <c r="F165" i="4"/>
  <c r="E165" i="4"/>
  <c r="D165" i="4"/>
  <c r="C165" i="4"/>
  <c r="B165" i="4"/>
  <c r="A165" i="4"/>
  <c r="F164" i="4"/>
  <c r="E164" i="4"/>
  <c r="D164" i="4"/>
  <c r="C164" i="4"/>
  <c r="B164" i="4"/>
  <c r="A164" i="4"/>
  <c r="F163" i="4"/>
  <c r="E163" i="4"/>
  <c r="D163" i="4"/>
  <c r="C163" i="4"/>
  <c r="B163" i="4"/>
  <c r="A163" i="4"/>
  <c r="F162" i="4"/>
  <c r="E162" i="4"/>
  <c r="D162" i="4"/>
  <c r="C162" i="4"/>
  <c r="B162" i="4"/>
  <c r="A162" i="4"/>
  <c r="F161" i="4"/>
  <c r="E161" i="4"/>
  <c r="D161" i="4"/>
  <c r="C161" i="4"/>
  <c r="B161" i="4"/>
  <c r="A161" i="4"/>
  <c r="F160" i="4"/>
  <c r="E160" i="4"/>
  <c r="D160" i="4"/>
  <c r="C160" i="4"/>
  <c r="B160" i="4"/>
  <c r="A160" i="4"/>
  <c r="F159" i="4"/>
  <c r="E159" i="4"/>
  <c r="D159" i="4"/>
  <c r="C159" i="4"/>
  <c r="B159" i="4"/>
  <c r="A159" i="4"/>
  <c r="F158" i="4"/>
  <c r="E158" i="4"/>
  <c r="D158" i="4"/>
  <c r="C158" i="4"/>
  <c r="B158" i="4"/>
  <c r="A158" i="4"/>
  <c r="F157" i="4"/>
  <c r="E157" i="4"/>
  <c r="D157" i="4"/>
  <c r="C157" i="4"/>
  <c r="B157" i="4"/>
  <c r="A157" i="4"/>
  <c r="F156" i="4"/>
  <c r="E156" i="4"/>
  <c r="D156" i="4"/>
  <c r="C156" i="4"/>
  <c r="B156" i="4"/>
  <c r="A156" i="4"/>
  <c r="F155" i="4"/>
  <c r="E155" i="4"/>
  <c r="D155" i="4"/>
  <c r="C155" i="4"/>
  <c r="B155" i="4"/>
  <c r="A155" i="4"/>
  <c r="F154" i="4"/>
  <c r="E154" i="4"/>
  <c r="D154" i="4"/>
  <c r="C154" i="4"/>
  <c r="B154" i="4"/>
  <c r="A154" i="4"/>
  <c r="F153" i="4"/>
  <c r="E153" i="4"/>
  <c r="D153" i="4"/>
  <c r="C153" i="4"/>
  <c r="B153" i="4"/>
  <c r="A153" i="4"/>
  <c r="F152" i="4"/>
  <c r="E152" i="4"/>
  <c r="D152" i="4"/>
  <c r="C152" i="4"/>
  <c r="B152" i="4"/>
  <c r="A152" i="4"/>
  <c r="F151" i="4"/>
  <c r="E151" i="4"/>
  <c r="D151" i="4"/>
  <c r="C151" i="4"/>
  <c r="B151" i="4"/>
  <c r="A151" i="4"/>
  <c r="F150" i="4"/>
  <c r="E150" i="4"/>
  <c r="D150" i="4"/>
  <c r="C150" i="4"/>
  <c r="B150" i="4"/>
  <c r="A150" i="4"/>
  <c r="F149" i="4"/>
  <c r="E149" i="4"/>
  <c r="D149" i="4"/>
  <c r="C149" i="4"/>
  <c r="B149" i="4"/>
  <c r="A149" i="4"/>
  <c r="F148" i="4"/>
  <c r="E148" i="4"/>
  <c r="D148" i="4"/>
  <c r="C148" i="4"/>
  <c r="B148" i="4"/>
  <c r="A148" i="4"/>
  <c r="F147" i="4"/>
  <c r="E147" i="4"/>
  <c r="D147" i="4"/>
  <c r="C147" i="4"/>
  <c r="B147" i="4"/>
  <c r="A147" i="4"/>
  <c r="F146" i="4"/>
  <c r="E146" i="4"/>
  <c r="D146" i="4"/>
  <c r="C146" i="4"/>
  <c r="B146" i="4"/>
  <c r="A146" i="4"/>
  <c r="F145" i="4"/>
  <c r="E145" i="4"/>
  <c r="D145" i="4"/>
  <c r="C145" i="4"/>
  <c r="B145" i="4"/>
  <c r="A145" i="4"/>
  <c r="F144" i="4"/>
  <c r="E144" i="4"/>
  <c r="D144" i="4"/>
  <c r="C144" i="4"/>
  <c r="B144" i="4"/>
  <c r="A144" i="4"/>
  <c r="F143" i="4"/>
  <c r="E143" i="4"/>
  <c r="D143" i="4"/>
  <c r="C143" i="4"/>
  <c r="B143" i="4"/>
  <c r="A143" i="4"/>
  <c r="F142" i="4"/>
  <c r="E142" i="4"/>
  <c r="D142" i="4"/>
  <c r="C142" i="4"/>
  <c r="B142" i="4"/>
  <c r="A142" i="4"/>
  <c r="F141" i="4"/>
  <c r="E141" i="4"/>
  <c r="D141" i="4"/>
  <c r="C141" i="4"/>
  <c r="B141" i="4"/>
  <c r="A141" i="4"/>
  <c r="F140" i="4"/>
  <c r="E140" i="4"/>
  <c r="D140" i="4"/>
  <c r="C140" i="4"/>
  <c r="B140" i="4"/>
  <c r="A140" i="4"/>
  <c r="F139" i="4"/>
  <c r="E139" i="4"/>
  <c r="D139" i="4"/>
  <c r="C139" i="4"/>
  <c r="B139" i="4"/>
  <c r="A139" i="4"/>
  <c r="F138" i="4"/>
  <c r="E138" i="4"/>
  <c r="D138" i="4"/>
  <c r="C138" i="4"/>
  <c r="B138" i="4"/>
  <c r="A138" i="4"/>
  <c r="F137" i="4"/>
  <c r="E137" i="4"/>
  <c r="D137" i="4"/>
  <c r="C137" i="4"/>
  <c r="B137" i="4"/>
  <c r="A137" i="4"/>
  <c r="F136" i="4"/>
  <c r="E136" i="4"/>
  <c r="D136" i="4"/>
  <c r="C136" i="4"/>
  <c r="B136" i="4"/>
  <c r="A136" i="4"/>
  <c r="F135" i="4"/>
  <c r="E135" i="4"/>
  <c r="D135" i="4"/>
  <c r="C135" i="4"/>
  <c r="B135" i="4"/>
  <c r="A135" i="4"/>
  <c r="F134" i="4"/>
  <c r="E134" i="4"/>
  <c r="D134" i="4"/>
  <c r="C134" i="4"/>
  <c r="B134" i="4"/>
  <c r="A134" i="4"/>
  <c r="F133" i="4"/>
  <c r="E133" i="4"/>
  <c r="D133" i="4"/>
  <c r="C133" i="4"/>
  <c r="B133" i="4"/>
  <c r="A133" i="4"/>
  <c r="F132" i="4"/>
  <c r="E132" i="4"/>
  <c r="D132" i="4"/>
  <c r="C132" i="4"/>
  <c r="B132" i="4"/>
  <c r="A132" i="4"/>
  <c r="F131" i="4"/>
  <c r="E131" i="4"/>
  <c r="D131" i="4"/>
  <c r="C131" i="4"/>
  <c r="B131" i="4"/>
  <c r="A131" i="4"/>
  <c r="F130" i="4"/>
  <c r="E130" i="4"/>
  <c r="D130" i="4"/>
  <c r="C130" i="4"/>
  <c r="B130" i="4"/>
  <c r="A130" i="4"/>
  <c r="F129" i="4"/>
  <c r="E129" i="4"/>
  <c r="D129" i="4"/>
  <c r="C129" i="4"/>
  <c r="B129" i="4"/>
  <c r="A129" i="4"/>
  <c r="F128" i="4"/>
  <c r="E128" i="4"/>
  <c r="D128" i="4"/>
  <c r="C128" i="4"/>
  <c r="B128" i="4"/>
  <c r="A128" i="4"/>
  <c r="F127" i="4"/>
  <c r="E127" i="4"/>
  <c r="D127" i="4"/>
  <c r="C127" i="4"/>
  <c r="B127" i="4"/>
  <c r="A127" i="4"/>
  <c r="F126" i="4"/>
  <c r="E126" i="4"/>
  <c r="D126" i="4"/>
  <c r="C126" i="4"/>
  <c r="B126" i="4"/>
  <c r="A126" i="4"/>
  <c r="F125" i="4"/>
  <c r="E125" i="4"/>
  <c r="D125" i="4"/>
  <c r="C125" i="4"/>
  <c r="B125" i="4"/>
  <c r="A125" i="4"/>
  <c r="F124" i="4"/>
  <c r="E124" i="4"/>
  <c r="D124" i="4"/>
  <c r="C124" i="4"/>
  <c r="B124" i="4"/>
  <c r="A124" i="4"/>
  <c r="F123" i="4"/>
  <c r="E123" i="4"/>
  <c r="D123" i="4"/>
  <c r="C123" i="4"/>
  <c r="B123" i="4"/>
  <c r="A123" i="4"/>
  <c r="F122" i="4"/>
  <c r="E122" i="4"/>
  <c r="D122" i="4"/>
  <c r="C122" i="4"/>
  <c r="B122" i="4"/>
  <c r="A122" i="4"/>
  <c r="F121" i="4"/>
  <c r="E121" i="4"/>
  <c r="D121" i="4"/>
  <c r="C121" i="4"/>
  <c r="B121" i="4"/>
  <c r="A121" i="4"/>
  <c r="F120" i="4"/>
  <c r="E120" i="4"/>
  <c r="D120" i="4"/>
  <c r="C120" i="4"/>
  <c r="B120" i="4"/>
  <c r="A120" i="4"/>
  <c r="F119" i="4"/>
  <c r="E119" i="4"/>
  <c r="D119" i="4"/>
  <c r="C119" i="4"/>
  <c r="B119" i="4"/>
  <c r="A119" i="4"/>
  <c r="F118" i="4"/>
  <c r="E118" i="4"/>
  <c r="D118" i="4"/>
  <c r="C118" i="4"/>
  <c r="B118" i="4"/>
  <c r="A118" i="4"/>
  <c r="F117" i="4"/>
  <c r="E117" i="4"/>
  <c r="D117" i="4"/>
  <c r="C117" i="4"/>
  <c r="B117" i="4"/>
  <c r="A117" i="4"/>
  <c r="F116" i="4"/>
  <c r="E116" i="4"/>
  <c r="D116" i="4"/>
  <c r="C116" i="4"/>
  <c r="B116" i="4"/>
  <c r="A116" i="4"/>
  <c r="F115" i="4"/>
  <c r="E115" i="4"/>
  <c r="D115" i="4"/>
  <c r="C115" i="4"/>
  <c r="B115" i="4"/>
  <c r="A115" i="4"/>
  <c r="F114" i="4"/>
  <c r="E114" i="4"/>
  <c r="D114" i="4"/>
  <c r="C114" i="4"/>
  <c r="B114" i="4"/>
  <c r="A114" i="4"/>
  <c r="F113" i="4"/>
  <c r="E113" i="4"/>
  <c r="D113" i="4"/>
  <c r="C113" i="4"/>
  <c r="B113" i="4"/>
  <c r="A113" i="4"/>
  <c r="F112" i="4"/>
  <c r="E112" i="4"/>
  <c r="D112" i="4"/>
  <c r="C112" i="4"/>
  <c r="B112" i="4"/>
  <c r="A112" i="4"/>
  <c r="F111" i="4"/>
  <c r="E111" i="4"/>
  <c r="D111" i="4"/>
  <c r="C111" i="4"/>
  <c r="B111" i="4"/>
  <c r="A111" i="4"/>
  <c r="F110" i="4"/>
  <c r="E110" i="4"/>
  <c r="D110" i="4"/>
  <c r="C110" i="4"/>
  <c r="B110" i="4"/>
  <c r="A110" i="4"/>
  <c r="F109" i="4"/>
  <c r="E109" i="4"/>
  <c r="D109" i="4"/>
  <c r="C109" i="4"/>
  <c r="B109" i="4"/>
  <c r="A109" i="4"/>
  <c r="F108" i="4"/>
  <c r="E108" i="4"/>
  <c r="D108" i="4"/>
  <c r="C108" i="4"/>
  <c r="B108" i="4"/>
  <c r="A108" i="4"/>
  <c r="F107" i="4"/>
  <c r="E107" i="4"/>
  <c r="D107" i="4"/>
  <c r="C107" i="4"/>
  <c r="B107" i="4"/>
  <c r="A107" i="4"/>
  <c r="F106" i="4"/>
  <c r="E106" i="4"/>
  <c r="D106" i="4"/>
  <c r="C106" i="4"/>
  <c r="B106" i="4"/>
  <c r="A106" i="4"/>
  <c r="F105" i="4"/>
  <c r="E105" i="4"/>
  <c r="D105" i="4"/>
  <c r="C105" i="4"/>
  <c r="B105" i="4"/>
  <c r="A105" i="4"/>
  <c r="F104" i="4"/>
  <c r="E104" i="4"/>
  <c r="D104" i="4"/>
  <c r="C104" i="4"/>
  <c r="B104" i="4"/>
  <c r="A104" i="4"/>
  <c r="F103" i="4"/>
  <c r="E103" i="4"/>
  <c r="D103" i="4"/>
  <c r="C103" i="4"/>
  <c r="B103" i="4"/>
  <c r="A103" i="4"/>
  <c r="F102" i="4"/>
  <c r="E102" i="4"/>
  <c r="D102" i="4"/>
  <c r="C102" i="4"/>
  <c r="B102" i="4"/>
  <c r="A102" i="4"/>
  <c r="F101" i="4"/>
  <c r="E101" i="4"/>
  <c r="D101" i="4"/>
  <c r="C101" i="4"/>
  <c r="B101" i="4"/>
  <c r="A101" i="4"/>
  <c r="F100" i="4"/>
  <c r="E100" i="4"/>
  <c r="D100" i="4"/>
  <c r="C100" i="4"/>
  <c r="B100" i="4"/>
  <c r="A100" i="4"/>
  <c r="F99" i="4"/>
  <c r="E99" i="4"/>
  <c r="D99" i="4"/>
  <c r="C99" i="4"/>
  <c r="B99" i="4"/>
  <c r="A99" i="4"/>
  <c r="F98" i="4"/>
  <c r="E98" i="4"/>
  <c r="D98" i="4"/>
  <c r="C98" i="4"/>
  <c r="B98" i="4"/>
  <c r="A98" i="4"/>
  <c r="F97" i="4"/>
  <c r="E97" i="4"/>
  <c r="D97" i="4"/>
  <c r="C97" i="4"/>
  <c r="B97" i="4"/>
  <c r="A97" i="4"/>
  <c r="F96" i="4"/>
  <c r="E96" i="4"/>
  <c r="D96" i="4"/>
  <c r="C96" i="4"/>
  <c r="B96" i="4"/>
  <c r="A96" i="4"/>
  <c r="F95" i="4"/>
  <c r="E95" i="4"/>
  <c r="D95" i="4"/>
  <c r="C95" i="4"/>
  <c r="B95" i="4"/>
  <c r="A95" i="4"/>
  <c r="F94" i="4"/>
  <c r="E94" i="4"/>
  <c r="D94" i="4"/>
  <c r="C94" i="4"/>
  <c r="B94" i="4"/>
  <c r="A94" i="4"/>
  <c r="F93" i="4"/>
  <c r="E93" i="4"/>
  <c r="D93" i="4"/>
  <c r="C93" i="4"/>
  <c r="B93" i="4"/>
  <c r="A93" i="4"/>
  <c r="F92" i="4"/>
  <c r="E92" i="4"/>
  <c r="D92" i="4"/>
  <c r="C92" i="4"/>
  <c r="B92" i="4"/>
  <c r="A92" i="4"/>
  <c r="F91" i="4"/>
  <c r="E91" i="4"/>
  <c r="D91" i="4"/>
  <c r="C91" i="4"/>
  <c r="B91" i="4"/>
  <c r="A91" i="4"/>
  <c r="F90" i="4"/>
  <c r="E90" i="4"/>
  <c r="D90" i="4"/>
  <c r="C90" i="4"/>
  <c r="B90" i="4"/>
  <c r="A90" i="4"/>
  <c r="F89" i="4"/>
  <c r="E89" i="4"/>
  <c r="D89" i="4"/>
  <c r="C89" i="4"/>
  <c r="B89" i="4"/>
  <c r="A89" i="4"/>
  <c r="F88" i="4"/>
  <c r="E88" i="4"/>
  <c r="D88" i="4"/>
  <c r="C88" i="4"/>
  <c r="B88" i="4"/>
  <c r="A88" i="4"/>
  <c r="F87" i="4"/>
  <c r="E87" i="4"/>
  <c r="D87" i="4"/>
  <c r="C87" i="4"/>
  <c r="B87" i="4"/>
  <c r="A87" i="4"/>
  <c r="F86" i="4"/>
  <c r="E86" i="4"/>
  <c r="D86" i="4"/>
  <c r="C86" i="4"/>
  <c r="B86" i="4"/>
  <c r="A86" i="4"/>
  <c r="F85" i="4"/>
  <c r="E85" i="4"/>
  <c r="D85" i="4"/>
  <c r="C85" i="4"/>
  <c r="B85" i="4"/>
  <c r="A85" i="4"/>
  <c r="F84" i="4"/>
  <c r="E84" i="4"/>
  <c r="D84" i="4"/>
  <c r="C84" i="4"/>
  <c r="B84" i="4"/>
  <c r="A84" i="4"/>
  <c r="F83" i="4"/>
  <c r="E83" i="4"/>
  <c r="D83" i="4"/>
  <c r="C83" i="4"/>
  <c r="B83" i="4"/>
  <c r="A83" i="4"/>
  <c r="F82" i="4"/>
  <c r="E82" i="4"/>
  <c r="D82" i="4"/>
  <c r="C82" i="4"/>
  <c r="B82" i="4"/>
  <c r="A82" i="4"/>
  <c r="F81" i="4"/>
  <c r="E81" i="4"/>
  <c r="D81" i="4"/>
  <c r="C81" i="4"/>
  <c r="B81" i="4"/>
  <c r="A81" i="4"/>
  <c r="F80" i="4"/>
  <c r="E80" i="4"/>
  <c r="D80" i="4"/>
  <c r="C80" i="4"/>
  <c r="B80" i="4"/>
  <c r="A80" i="4"/>
  <c r="F79" i="4"/>
  <c r="E79" i="4"/>
  <c r="D79" i="4"/>
  <c r="C79" i="4"/>
  <c r="B79" i="4"/>
  <c r="A79" i="4"/>
  <c r="F78" i="4"/>
  <c r="E78" i="4"/>
  <c r="D78" i="4"/>
  <c r="C78" i="4"/>
  <c r="B78" i="4"/>
  <c r="A78" i="4"/>
  <c r="F77" i="4"/>
  <c r="E77" i="4"/>
  <c r="D77" i="4"/>
  <c r="C77" i="4"/>
  <c r="B77" i="4"/>
  <c r="A77" i="4"/>
  <c r="F76" i="4"/>
  <c r="E76" i="4"/>
  <c r="D76" i="4"/>
  <c r="C76" i="4"/>
  <c r="B76" i="4"/>
  <c r="A76" i="4"/>
  <c r="F75" i="4"/>
  <c r="E75" i="4"/>
  <c r="D75" i="4"/>
  <c r="C75" i="4"/>
  <c r="B75" i="4"/>
  <c r="A75" i="4"/>
  <c r="F74" i="4"/>
  <c r="E74" i="4"/>
  <c r="D74" i="4"/>
  <c r="C74" i="4"/>
  <c r="B74" i="4"/>
  <c r="A74" i="4"/>
  <c r="F73" i="4"/>
  <c r="E73" i="4"/>
  <c r="D73" i="4"/>
  <c r="C73" i="4"/>
  <c r="B73" i="4"/>
  <c r="A73" i="4"/>
  <c r="F72" i="4"/>
  <c r="E72" i="4"/>
  <c r="D72" i="4"/>
  <c r="C72" i="4"/>
  <c r="B72" i="4"/>
  <c r="A72" i="4"/>
  <c r="F71" i="4"/>
  <c r="E71" i="4"/>
  <c r="D71" i="4"/>
  <c r="C71" i="4"/>
  <c r="B71" i="4"/>
  <c r="A71" i="4"/>
  <c r="F70" i="4"/>
  <c r="E70" i="4"/>
  <c r="D70" i="4"/>
  <c r="C70" i="4"/>
  <c r="B70" i="4"/>
  <c r="A70" i="4"/>
  <c r="F69" i="4"/>
  <c r="E69" i="4"/>
  <c r="D69" i="4"/>
  <c r="C69" i="4"/>
  <c r="B69" i="4"/>
  <c r="A69" i="4"/>
  <c r="F68" i="4"/>
  <c r="E68" i="4"/>
  <c r="D68" i="4"/>
  <c r="C68" i="4"/>
  <c r="B68" i="4"/>
  <c r="A68" i="4"/>
  <c r="F67" i="4"/>
  <c r="E67" i="4"/>
  <c r="D67" i="4"/>
  <c r="C67" i="4"/>
  <c r="B67" i="4"/>
  <c r="A67" i="4"/>
  <c r="F66" i="4"/>
  <c r="E66" i="4"/>
  <c r="D66" i="4"/>
  <c r="C66" i="4"/>
  <c r="B66" i="4"/>
  <c r="A66" i="4"/>
  <c r="F65" i="4"/>
  <c r="E65" i="4"/>
  <c r="D65" i="4"/>
  <c r="C65" i="4"/>
  <c r="B65" i="4"/>
  <c r="A65" i="4"/>
  <c r="F64" i="4"/>
  <c r="E64" i="4"/>
  <c r="D64" i="4"/>
  <c r="C64" i="4"/>
  <c r="B64" i="4"/>
  <c r="A64" i="4"/>
  <c r="F63" i="4"/>
  <c r="E63" i="4"/>
  <c r="D63" i="4"/>
  <c r="C63" i="4"/>
  <c r="B63" i="4"/>
  <c r="A63" i="4"/>
  <c r="F62" i="4"/>
  <c r="E62" i="4"/>
  <c r="D62" i="4"/>
  <c r="C62" i="4"/>
  <c r="B62" i="4"/>
  <c r="A62" i="4"/>
  <c r="F61" i="4"/>
  <c r="E61" i="4"/>
  <c r="D61" i="4"/>
  <c r="C61" i="4"/>
  <c r="B61" i="4"/>
  <c r="A61" i="4"/>
  <c r="F60" i="4"/>
  <c r="E60" i="4"/>
  <c r="D60" i="4"/>
  <c r="C60" i="4"/>
  <c r="B60" i="4"/>
  <c r="A60" i="4"/>
  <c r="F59" i="4"/>
  <c r="E59" i="4"/>
  <c r="D59" i="4"/>
  <c r="C59" i="4"/>
  <c r="B59" i="4"/>
  <c r="A59" i="4"/>
  <c r="F58" i="4"/>
  <c r="E58" i="4"/>
  <c r="D58" i="4"/>
  <c r="C58" i="4"/>
  <c r="B58" i="4"/>
  <c r="A58" i="4"/>
  <c r="F57" i="4"/>
  <c r="E57" i="4"/>
  <c r="D57" i="4"/>
  <c r="C57" i="4"/>
  <c r="B57" i="4"/>
  <c r="A57" i="4"/>
  <c r="F42" i="4"/>
  <c r="E42" i="4"/>
  <c r="D42" i="4"/>
  <c r="B42" i="4"/>
  <c r="A42" i="4"/>
  <c r="F41" i="4"/>
  <c r="E41" i="4"/>
  <c r="D41" i="4"/>
  <c r="B41" i="4"/>
  <c r="A41" i="4"/>
  <c r="F40" i="4"/>
  <c r="E40" i="4"/>
  <c r="D40" i="4"/>
  <c r="B40" i="4"/>
  <c r="A40" i="4"/>
  <c r="F39" i="4"/>
  <c r="E39" i="4"/>
  <c r="D39" i="4"/>
  <c r="B39" i="4"/>
  <c r="A39" i="4"/>
  <c r="F38" i="4"/>
  <c r="E38" i="4"/>
  <c r="D38" i="4"/>
  <c r="B38" i="4"/>
  <c r="A38" i="4"/>
  <c r="F37" i="4"/>
  <c r="E37" i="4"/>
  <c r="D37" i="4"/>
  <c r="B37" i="4"/>
  <c r="A37" i="4"/>
  <c r="F36" i="4"/>
  <c r="E36" i="4"/>
  <c r="D36" i="4"/>
  <c r="B36" i="4"/>
  <c r="A36" i="4"/>
  <c r="F35" i="4"/>
  <c r="E35" i="4"/>
  <c r="D35" i="4"/>
  <c r="B35" i="4"/>
  <c r="A35" i="4"/>
  <c r="F34" i="4"/>
  <c r="E34" i="4"/>
  <c r="D34" i="4"/>
  <c r="B34" i="4"/>
  <c r="A34" i="4"/>
  <c r="F33" i="4"/>
  <c r="E33" i="4"/>
  <c r="D33" i="4"/>
  <c r="B33" i="4"/>
  <c r="A33" i="4"/>
  <c r="F32" i="4"/>
  <c r="E32" i="4"/>
  <c r="D32" i="4"/>
  <c r="B32" i="4"/>
  <c r="A32" i="4"/>
  <c r="F31" i="4"/>
  <c r="E31" i="4"/>
  <c r="D31" i="4"/>
  <c r="B31" i="4"/>
  <c r="A31" i="4"/>
  <c r="F30" i="4"/>
  <c r="E30" i="4"/>
  <c r="D30" i="4"/>
  <c r="B30" i="4"/>
  <c r="A30" i="4"/>
  <c r="F29" i="4"/>
  <c r="E29" i="4"/>
  <c r="D29" i="4"/>
  <c r="B29" i="4"/>
  <c r="A29" i="4"/>
  <c r="F28" i="4"/>
  <c r="E28" i="4"/>
  <c r="D28" i="4"/>
  <c r="B28" i="4"/>
  <c r="A28" i="4"/>
  <c r="F27" i="4"/>
  <c r="E27" i="4"/>
  <c r="D27" i="4"/>
  <c r="B27" i="4"/>
  <c r="A27" i="4"/>
  <c r="F26" i="4"/>
  <c r="E26" i="4"/>
  <c r="D26" i="4"/>
  <c r="B26" i="4"/>
  <c r="A26" i="4"/>
  <c r="F25" i="4"/>
  <c r="E25" i="4"/>
  <c r="D25" i="4"/>
  <c r="B25" i="4"/>
  <c r="A25" i="4"/>
  <c r="F24" i="4"/>
  <c r="E24" i="4"/>
  <c r="D24" i="4"/>
  <c r="B24" i="4"/>
  <c r="A24" i="4"/>
  <c r="F23" i="4"/>
  <c r="E23" i="4"/>
  <c r="D23" i="4"/>
  <c r="B23" i="4"/>
  <c r="A23" i="4"/>
  <c r="F22" i="4"/>
  <c r="E22" i="4"/>
  <c r="D22" i="4"/>
  <c r="B22" i="4"/>
  <c r="A22" i="4"/>
  <c r="F21" i="4"/>
  <c r="E21" i="4"/>
  <c r="D21" i="4"/>
  <c r="B21" i="4"/>
  <c r="A21" i="4"/>
  <c r="F20" i="4"/>
  <c r="E20" i="4"/>
  <c r="D20" i="4"/>
  <c r="B20" i="4"/>
  <c r="A20" i="4"/>
  <c r="F19" i="4"/>
  <c r="E19" i="4"/>
  <c r="D19" i="4"/>
  <c r="B19" i="4"/>
  <c r="A19" i="4"/>
  <c r="F18" i="4"/>
  <c r="E18" i="4"/>
  <c r="D18" i="4"/>
  <c r="B18" i="4"/>
  <c r="A18" i="4"/>
  <c r="F17" i="4"/>
  <c r="E17" i="4"/>
  <c r="D17" i="4"/>
  <c r="B17" i="4"/>
  <c r="A17" i="4"/>
  <c r="F16" i="4"/>
  <c r="E16" i="4"/>
  <c r="D16" i="4"/>
  <c r="B16" i="4"/>
  <c r="A16" i="4"/>
  <c r="F15" i="4"/>
  <c r="E15" i="4"/>
  <c r="D15" i="4"/>
  <c r="B15" i="4"/>
  <c r="A15" i="4"/>
  <c r="F14" i="4"/>
  <c r="E14" i="4"/>
  <c r="D14" i="4"/>
  <c r="B14" i="4"/>
  <c r="A14" i="4"/>
  <c r="F13" i="4"/>
  <c r="E13" i="4"/>
  <c r="D13" i="4"/>
  <c r="B13" i="4"/>
  <c r="A13" i="4"/>
  <c r="F12" i="4"/>
  <c r="E12" i="4"/>
  <c r="D12" i="4"/>
  <c r="B12" i="4"/>
  <c r="A12" i="4"/>
  <c r="F11" i="4"/>
  <c r="E11" i="4"/>
  <c r="D11" i="4"/>
  <c r="B11" i="4"/>
  <c r="A11" i="4"/>
  <c r="F10" i="4"/>
  <c r="E10" i="4"/>
  <c r="D10" i="4"/>
  <c r="B10" i="4"/>
  <c r="A10" i="4"/>
  <c r="F9" i="4"/>
  <c r="E9" i="4"/>
  <c r="D9" i="4"/>
  <c r="B9" i="4"/>
  <c r="A9" i="4"/>
  <c r="F8" i="4"/>
  <c r="E8" i="4"/>
  <c r="D8" i="4"/>
  <c r="B8" i="4"/>
  <c r="A8" i="4"/>
  <c r="F7" i="4"/>
  <c r="E7" i="4"/>
  <c r="D7" i="4"/>
  <c r="B7" i="4"/>
  <c r="A7" i="4"/>
  <c r="F6" i="4"/>
  <c r="E6" i="4"/>
  <c r="D6" i="4"/>
  <c r="B6" i="4"/>
  <c r="A6" i="4"/>
  <c r="F5" i="4"/>
  <c r="E5" i="4"/>
  <c r="D5" i="4"/>
  <c r="B5" i="4"/>
  <c r="A5" i="4"/>
  <c r="F4" i="4"/>
  <c r="E4" i="4"/>
  <c r="D4" i="4"/>
  <c r="B4" i="4"/>
  <c r="A4" i="4"/>
  <c r="F3" i="4"/>
  <c r="E3" i="4"/>
  <c r="D3" i="4"/>
  <c r="B3" i="4"/>
  <c r="A3" i="4"/>
  <c r="F2" i="4"/>
  <c r="E2" i="4"/>
  <c r="D2" i="4"/>
  <c r="B2" i="4"/>
  <c r="A2" i="4"/>
  <c r="L17" i="2"/>
  <c r="L16" i="2"/>
  <c r="L15" i="2"/>
  <c r="L14" i="2"/>
  <c r="L13" i="2"/>
  <c r="L12" i="2"/>
  <c r="L9" i="2"/>
  <c r="L8" i="2"/>
  <c r="L7" i="2"/>
  <c r="L6" i="2"/>
  <c r="L5" i="2"/>
  <c r="N2" i="2"/>
  <c r="L2" i="2"/>
  <c r="C30" i="1"/>
  <c r="B21" i="1"/>
  <c r="B6" i="1"/>
  <c r="B11" i="1" s="1"/>
  <c r="D11" i="1" s="1"/>
  <c r="G55" i="4" l="1"/>
  <c r="G53" i="4"/>
  <c r="G54" i="4"/>
  <c r="G52" i="4"/>
  <c r="G48" i="4"/>
  <c r="G49" i="4"/>
  <c r="G50" i="4"/>
  <c r="G46" i="4"/>
  <c r="G51" i="4"/>
  <c r="G56" i="4"/>
  <c r="G47" i="4"/>
  <c r="M14" i="2"/>
  <c r="G132" i="4"/>
  <c r="G196" i="4"/>
  <c r="G59" i="4"/>
  <c r="G99" i="4"/>
  <c r="G150" i="4"/>
  <c r="G80" i="4"/>
  <c r="G88" i="4"/>
  <c r="G104" i="4"/>
  <c r="G112" i="4"/>
  <c r="G115" i="4"/>
  <c r="G127" i="4"/>
  <c r="G131" i="4"/>
  <c r="G135" i="4"/>
  <c r="G139" i="4"/>
  <c r="G147" i="4"/>
  <c r="G151" i="4"/>
  <c r="G155" i="4"/>
  <c r="G159" i="4"/>
  <c r="G163" i="4"/>
  <c r="G179" i="4"/>
  <c r="G187" i="4"/>
  <c r="G191" i="4"/>
  <c r="G195" i="4"/>
  <c r="G114" i="4"/>
  <c r="G122" i="4"/>
  <c r="G146" i="4"/>
  <c r="G178" i="4"/>
  <c r="G186" i="4"/>
  <c r="G194" i="4"/>
  <c r="G198" i="4"/>
  <c r="G202" i="4"/>
  <c r="G65" i="4"/>
  <c r="G93" i="4"/>
  <c r="G169" i="4"/>
  <c r="G193" i="4"/>
  <c r="G63" i="4"/>
  <c r="G67" i="4"/>
  <c r="G71" i="4"/>
  <c r="G75" i="4"/>
  <c r="G83" i="4"/>
  <c r="G91" i="4"/>
  <c r="G95" i="4"/>
  <c r="G173" i="4"/>
  <c r="G176" i="4"/>
  <c r="G200" i="4"/>
  <c r="G58" i="4"/>
  <c r="G82" i="4"/>
  <c r="G123" i="4"/>
  <c r="G61" i="4"/>
  <c r="G97" i="4"/>
  <c r="G107" i="4"/>
  <c r="G197" i="4"/>
  <c r="G86" i="4"/>
  <c r="G101" i="4"/>
  <c r="G105" i="4"/>
  <c r="G117" i="4"/>
  <c r="G125" i="4"/>
  <c r="G129" i="4"/>
  <c r="G161" i="4"/>
  <c r="G171" i="4"/>
  <c r="G68" i="4"/>
  <c r="G141" i="4"/>
  <c r="G144" i="4"/>
  <c r="G152" i="4"/>
  <c r="L8" i="4"/>
  <c r="G66" i="4"/>
  <c r="G79" i="4"/>
  <c r="G84" i="4"/>
  <c r="G96" i="4"/>
  <c r="G102" i="4"/>
  <c r="G109" i="4"/>
  <c r="G113" i="4"/>
  <c r="G130" i="4"/>
  <c r="G143" i="4"/>
  <c r="G148" i="4"/>
  <c r="G157" i="4"/>
  <c r="G160" i="4"/>
  <c r="G166" i="4"/>
  <c r="G177" i="4"/>
  <c r="G199" i="4"/>
  <c r="M9" i="2"/>
  <c r="G94" i="4"/>
  <c r="G140" i="4"/>
  <c r="G158" i="4"/>
  <c r="G57" i="4"/>
  <c r="G74" i="4"/>
  <c r="G87" i="4"/>
  <c r="G92" i="4"/>
  <c r="G110" i="4"/>
  <c r="G121" i="4"/>
  <c r="G138" i="4"/>
  <c r="G156" i="4"/>
  <c r="G165" i="4"/>
  <c r="G168" i="4"/>
  <c r="G174" i="4"/>
  <c r="G185" i="4"/>
  <c r="G76" i="4"/>
  <c r="G100" i="4"/>
  <c r="G118" i="4"/>
  <c r="G164" i="4"/>
  <c r="G182" i="4"/>
  <c r="G62" i="4"/>
  <c r="G69" i="4"/>
  <c r="G73" i="4"/>
  <c r="G90" i="4"/>
  <c r="G103" i="4"/>
  <c r="G108" i="4"/>
  <c r="G120" i="4"/>
  <c r="G126" i="4"/>
  <c r="G137" i="4"/>
  <c r="G154" i="4"/>
  <c r="G167" i="4"/>
  <c r="G172" i="4"/>
  <c r="G181" i="4"/>
  <c r="G184" i="4"/>
  <c r="G190" i="4"/>
  <c r="G64" i="4"/>
  <c r="G70" i="4"/>
  <c r="G77" i="4"/>
  <c r="G81" i="4"/>
  <c r="G98" i="4"/>
  <c r="G111" i="4"/>
  <c r="G116" i="4"/>
  <c r="G128" i="4"/>
  <c r="G134" i="4"/>
  <c r="G145" i="4"/>
  <c r="G162" i="4"/>
  <c r="G175" i="4"/>
  <c r="G180" i="4"/>
  <c r="G189" i="4"/>
  <c r="G192" i="4"/>
  <c r="G201" i="4"/>
  <c r="G149" i="4"/>
  <c r="M7" i="2"/>
  <c r="G60" i="4"/>
  <c r="G72" i="4"/>
  <c r="G78" i="4"/>
  <c r="G85" i="4"/>
  <c r="G89" i="4"/>
  <c r="G106" i="4"/>
  <c r="G119" i="4"/>
  <c r="G124" i="4"/>
  <c r="G133" i="4"/>
  <c r="G136" i="4"/>
  <c r="G142" i="4"/>
  <c r="G153" i="4"/>
  <c r="G170" i="4"/>
  <c r="G183" i="4"/>
  <c r="G188" i="4"/>
  <c r="M15" i="2"/>
  <c r="M5" i="2"/>
  <c r="M16" i="2"/>
  <c r="M12" i="2"/>
  <c r="M6" i="2"/>
  <c r="M17" i="2"/>
  <c r="M13" i="2"/>
  <c r="L7" i="4"/>
  <c r="L3" i="4"/>
  <c r="B9" i="1"/>
  <c r="D9" i="1" s="1"/>
  <c r="B10" i="1" s="1"/>
  <c r="D10" i="1" s="1"/>
  <c r="M8" i="2"/>
  <c r="L4" i="4"/>
  <c r="L5" i="4"/>
  <c r="L6" i="4"/>
  <c r="B16" i="1" l="1"/>
  <c r="B17" i="1" l="1"/>
  <c r="B18" i="1"/>
  <c r="C44" i="4" l="1"/>
  <c r="G44" i="4" s="1"/>
  <c r="C43" i="4"/>
  <c r="G43" i="4" s="1"/>
  <c r="C45" i="4"/>
  <c r="G45" i="4" s="1"/>
  <c r="C33" i="4"/>
  <c r="G33" i="4" s="1"/>
  <c r="C25" i="4"/>
  <c r="G25" i="4" s="1"/>
  <c r="C17" i="4"/>
  <c r="G17" i="4" s="1"/>
  <c r="C9" i="4"/>
  <c r="G9" i="4" s="1"/>
  <c r="C11" i="4"/>
  <c r="G11" i="4" s="1"/>
  <c r="C41" i="4"/>
  <c r="G41" i="4" s="1"/>
  <c r="C37" i="4"/>
  <c r="G37" i="4" s="1"/>
  <c r="C29" i="4"/>
  <c r="G29" i="4" s="1"/>
  <c r="C21" i="4"/>
  <c r="G21" i="4" s="1"/>
  <c r="C13" i="4"/>
  <c r="G13" i="4" s="1"/>
  <c r="C5" i="4"/>
  <c r="G5" i="4" s="1"/>
  <c r="C7" i="4"/>
  <c r="G7" i="4" s="1"/>
  <c r="C40" i="4"/>
  <c r="G40" i="4" s="1"/>
  <c r="C32" i="4"/>
  <c r="G32" i="4" s="1"/>
  <c r="C20" i="4"/>
  <c r="G20" i="4" s="1"/>
  <c r="C12" i="4"/>
  <c r="G12" i="4" s="1"/>
  <c r="C42" i="4"/>
  <c r="G42" i="4" s="1"/>
  <c r="C30" i="4"/>
  <c r="G30" i="4" s="1"/>
  <c r="C22" i="4"/>
  <c r="G22" i="4" s="1"/>
  <c r="C14" i="4"/>
  <c r="G14" i="4" s="1"/>
  <c r="C6" i="4"/>
  <c r="G6" i="4" s="1"/>
  <c r="C31" i="4"/>
  <c r="G31" i="4" s="1"/>
  <c r="C15" i="4"/>
  <c r="G15" i="4" s="1"/>
  <c r="C38" i="4"/>
  <c r="G38" i="4" s="1"/>
  <c r="C34" i="4"/>
  <c r="G34" i="4" s="1"/>
  <c r="C26" i="4"/>
  <c r="G26" i="4" s="1"/>
  <c r="C18" i="4"/>
  <c r="G18" i="4" s="1"/>
  <c r="C10" i="4"/>
  <c r="G10" i="4" s="1"/>
  <c r="C2" i="4"/>
  <c r="G2" i="4" s="1"/>
  <c r="C23" i="4"/>
  <c r="G23" i="4" s="1"/>
  <c r="C3" i="4"/>
  <c r="G3" i="4" s="1"/>
  <c r="C36" i="4"/>
  <c r="G36" i="4" s="1"/>
  <c r="C28" i="4"/>
  <c r="G28" i="4" s="1"/>
  <c r="C16" i="4"/>
  <c r="G16" i="4" s="1"/>
  <c r="C8" i="4"/>
  <c r="G8" i="4" s="1"/>
  <c r="C39" i="4"/>
  <c r="G39" i="4" s="1"/>
  <c r="C27" i="4"/>
  <c r="G27" i="4" s="1"/>
  <c r="C24" i="4"/>
  <c r="G24" i="4" s="1"/>
  <c r="C4" i="4"/>
  <c r="G4" i="4" s="1"/>
  <c r="C35" i="4"/>
  <c r="G35" i="4" s="1"/>
  <c r="C19" i="4"/>
  <c r="G19" i="4" s="1"/>
  <c r="B29" i="1"/>
  <c r="D29" i="1" s="1"/>
  <c r="B25" i="1"/>
  <c r="D25" i="1" s="1"/>
  <c r="B28" i="1"/>
  <c r="D28" i="1" s="1"/>
  <c r="B27" i="1"/>
  <c r="D27" i="1" s="1"/>
  <c r="B26" i="1"/>
  <c r="D26" i="1" s="1"/>
  <c r="K6" i="4" l="1"/>
  <c r="K4" i="4"/>
  <c r="K3" i="4"/>
  <c r="K8" i="4"/>
  <c r="K7" i="4"/>
  <c r="K5" i="4"/>
  <c r="I1" i="4"/>
  <c r="B33" i="1"/>
  <c r="D31" i="1"/>
  <c r="B32" i="1" s="1"/>
</calcChain>
</file>

<file path=xl/sharedStrings.xml><?xml version="1.0" encoding="utf-8"?>
<sst xmlns="http://schemas.openxmlformats.org/spreadsheetml/2006/main" count="246" uniqueCount="103">
  <si>
    <t>Modelo de Cálculo de Comissão e Bonificação</t>
  </si>
  <si>
    <t>Comissão Total</t>
  </si>
  <si>
    <t>Bonificação Total</t>
  </si>
  <si>
    <t>Percentual via cartão</t>
  </si>
  <si>
    <t>Total Bruto</t>
  </si>
  <si>
    <t>Descrição</t>
  </si>
  <si>
    <t>Base</t>
  </si>
  <si>
    <t>%</t>
  </si>
  <si>
    <t>Dedução</t>
  </si>
  <si>
    <t>Convenção (20%)</t>
  </si>
  <si>
    <t>Imposto (12% sobre saldo pós convenção)</t>
  </si>
  <si>
    <t>Taxa Cartão (2% de percentual via cartão)</t>
  </si>
  <si>
    <t>Total de Deduções</t>
  </si>
  <si>
    <t>Saldo pós deduções</t>
  </si>
  <si>
    <t>Líquido para pagamento</t>
  </si>
  <si>
    <t>Descontos extras (perdas/punições)</t>
  </si>
  <si>
    <t>Bônus departamentais aplicados</t>
  </si>
  <si>
    <t>Pontuação</t>
  </si>
  <si>
    <t>% da Comissão</t>
  </si>
  <si>
    <t>Valor</t>
  </si>
  <si>
    <t>Ponto 1</t>
  </si>
  <si>
    <t>Ponto 2</t>
  </si>
  <si>
    <t>Ponto 3</t>
  </si>
  <si>
    <t>Ponto 4</t>
  </si>
  <si>
    <t>Ponto 5</t>
  </si>
  <si>
    <t>Total Percentual</t>
  </si>
  <si>
    <t>Total Distribuído</t>
  </si>
  <si>
    <t>Líquido restante após distribuição</t>
  </si>
  <si>
    <t>Diferença de reconciliação</t>
  </si>
  <si>
    <t>Nome</t>
  </si>
  <si>
    <t>Departamento</t>
  </si>
  <si>
    <t>DataAdmissao</t>
  </si>
  <si>
    <t>Pontos</t>
  </si>
  <si>
    <t>DeducaoIndividual</t>
  </si>
  <si>
    <t>BonificacaoIndividual</t>
  </si>
  <si>
    <t>DiasTrabalhados</t>
  </si>
  <si>
    <t>Departamentos</t>
  </si>
  <si>
    <t>recepção</t>
  </si>
  <si>
    <t>cozinha</t>
  </si>
  <si>
    <t>serviço</t>
  </si>
  <si>
    <t>manutenção</t>
  </si>
  <si>
    <t>governança</t>
  </si>
  <si>
    <t>controle de perdas</t>
  </si>
  <si>
    <t>Resumo</t>
  </si>
  <si>
    <t>Total de Funcionários</t>
  </si>
  <si>
    <t>Percentual</t>
  </si>
  <si>
    <t>Por Pontuação</t>
  </si>
  <si>
    <t>Por Departamento</t>
  </si>
  <si>
    <t>nome</t>
  </si>
  <si>
    <t>valor</t>
  </si>
  <si>
    <t>Funcionário</t>
  </si>
  <si>
    <t>Cotas por pontos</t>
  </si>
  <si>
    <t>Bônus Depto</t>
  </si>
  <si>
    <t>Bonificação Individual</t>
  </si>
  <si>
    <t>Deducao Individual</t>
  </si>
  <si>
    <t>Total Funcionário</t>
  </si>
  <si>
    <t>Resumo por Departamento</t>
  </si>
  <si>
    <t>Qtd Funcionários</t>
  </si>
  <si>
    <t>Adailton dos santos oliveira</t>
  </si>
  <si>
    <t>Adriana Ferreira Dos Santos</t>
  </si>
  <si>
    <t>Adriana Santos Do Nascimento</t>
  </si>
  <si>
    <t>Alan Paiva Lima</t>
  </si>
  <si>
    <t>Andrea Minervino De Melo Vasconcelos</t>
  </si>
  <si>
    <t>Aurinete maria de oliveira</t>
  </si>
  <si>
    <t>Bartolomeu Leandro René de Araujo</t>
  </si>
  <si>
    <t>Bruno Ruanderson Mendes</t>
  </si>
  <si>
    <t>Carlos Eduardo Carneiro da Silva</t>
  </si>
  <si>
    <t>Cintia Raquel Da Silva</t>
  </si>
  <si>
    <t xml:space="preserve">Clebio Alves de Moura </t>
  </si>
  <si>
    <t>Danilo Cesar Silva Lima</t>
  </si>
  <si>
    <t>Dina Priscila dos Santos Nunes</t>
  </si>
  <si>
    <t>Elenilda Dos Santos Da Silva</t>
  </si>
  <si>
    <t>Erique Neves Cavalcanti</t>
  </si>
  <si>
    <t>Filipe da silva assis</t>
  </si>
  <si>
    <t>Generina Jovelina Da Silva</t>
  </si>
  <si>
    <t>Guilherme Henrique da Silva</t>
  </si>
  <si>
    <t xml:space="preserve">Jaqueline Maria Santos da Silva </t>
  </si>
  <si>
    <t>José Gomes Da Silva</t>
  </si>
  <si>
    <t xml:space="preserve">José Henrique Lucena da Silva </t>
  </si>
  <si>
    <t>Josenice Maria De Oliveira</t>
  </si>
  <si>
    <t>Kayke Emanoel de Lima</t>
  </si>
  <si>
    <t>Lindinalva Maria Pereira</t>
  </si>
  <si>
    <t>Luiz Carlos Rodrigues Dos Santos</t>
  </si>
  <si>
    <t>Luiz Eduardo Carneiro da Silva</t>
  </si>
  <si>
    <t>Maria Nadier Da Silva</t>
  </si>
  <si>
    <t>Pedro Lucas Silva Dos Santos</t>
  </si>
  <si>
    <t>Priscila Silva Gonçalves</t>
  </si>
  <si>
    <t>Robson Vieira Da Silva</t>
  </si>
  <si>
    <t xml:space="preserve">Taciana Maria da Silva </t>
  </si>
  <si>
    <t>Welington Da Silva Lima</t>
  </si>
  <si>
    <t>Cicera maria da Silva</t>
  </si>
  <si>
    <t>Iraquitan De Freitas Lima Junior</t>
  </si>
  <si>
    <t>Daniel Luiz De Lima</t>
  </si>
  <si>
    <t xml:space="preserve">José Edson França dos Santos </t>
  </si>
  <si>
    <t>Gilvan Santos de Brito</t>
  </si>
  <si>
    <t>Ademir Generali</t>
  </si>
  <si>
    <t>Jose Antunes Rocha e Silva do Nascimento</t>
  </si>
  <si>
    <t>Eliete Maria Dos Santos Da Silva</t>
  </si>
  <si>
    <t>Luciano Aleixo Dos Santos</t>
  </si>
  <si>
    <t>Werley Kaia Silvino Alves</t>
  </si>
  <si>
    <t>Erick Manoel Santos Do Nascimento</t>
  </si>
  <si>
    <t>Jose Roberto Da Silva</t>
  </si>
  <si>
    <t>Jose Cicero Santos Acioli de 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</si>
</sst>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164" fontId="0" fillId="0" borderId="0" xfId="0" applyNumberFormat="1"/>
    <xf numFmtId="0" fontId="2" fillId="2" borderId="1" xfId="0" applyFont="1" applyFill="1" applyBorder="1"/>
    <xf numFmtId="10" fontId="0" fillId="0" borderId="0" xfId="0" applyNumberFormat="1"/>
    <xf numFmtId="0" fontId="0" fillId="0" borderId="0" xfId="0" applyProtection="1">
      <protection locked="0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1" applyAlignment="1">
      <alignment horizontal="left"/>
    </xf>
    <xf numFmtId="17" fontId="0" fillId="0" borderId="0" xfId="0" applyNumberFormat="1"/>
    <xf numFmtId="16" fontId="0" fillId="0" borderId="0" xfId="0" applyNumberFormat="1"/>
  </cellXfs>
  <cellStyles count="2">
    <cellStyle name="Normal" xfId="0" builtinId="0"/>
    <cellStyle name="Normal 2" xfId="1" xr:uid="{9FFAFDE8-4E46-4E1F-B5DE-6E5DFDD3297A}"/>
  </cellStyles>
  <dxfs count="5">
    <dxf>
      <fill>
        <patternFill>
          <bgColor rgb="FFFAFAFA"/>
        </patternFill>
      </fill>
    </dxf>
    <dxf>
      <fill>
        <patternFill>
          <bgColor rgb="FFFAFAFA"/>
        </patternFill>
      </fill>
    </dxf>
    <dxf>
      <font>
        <b/>
      </font>
      <fill>
        <patternFill>
          <bgColor rgb="FFEFEFE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00020"/>
      </font>
      <fill>
        <patternFill>
          <bgColor rgb="FFFDEDEE"/>
        </patternFill>
      </fill>
    </dxf>
    <dxf>
      <font>
        <b/>
        <color rgb="FF0F5132"/>
      </font>
      <fill>
        <patternFill>
          <bgColor rgb="FFE6F4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Distribuição dos valores por ponto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Distribuição por pontos</c:v>
          </c:tx>
          <c:cat>
            <c:strRef>
              <c:f>Editavel!$A$25:$A$29</c:f>
              <c:strCache>
                <c:ptCount val="5"/>
                <c:pt idx="0">
                  <c:v>Ponto 1</c:v>
                </c:pt>
                <c:pt idx="1">
                  <c:v>Ponto 2</c:v>
                </c:pt>
                <c:pt idx="2">
                  <c:v>Ponto 3</c:v>
                </c:pt>
                <c:pt idx="3">
                  <c:v>Ponto 4</c:v>
                </c:pt>
                <c:pt idx="4">
                  <c:v>Ponto 5</c:v>
                </c:pt>
              </c:strCache>
            </c:strRef>
          </c:cat>
          <c:val>
            <c:numRef>
              <c:f>Editavel!$D$25:$D$29</c:f>
              <c:numCache>
                <c:formatCode>\R\$\ #,##0.00</c:formatCode>
                <c:ptCount val="5"/>
                <c:pt idx="0">
                  <c:v>2451.2896479999999</c:v>
                </c:pt>
                <c:pt idx="1">
                  <c:v>7353.8689439999998</c:v>
                </c:pt>
                <c:pt idx="2">
                  <c:v>8089.2558384000004</c:v>
                </c:pt>
                <c:pt idx="3">
                  <c:v>4167.1924016000003</c:v>
                </c:pt>
                <c:pt idx="4">
                  <c:v>2451.2896479999999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0-4BD7-8469-B8172DEE2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Por Pontuação</c:v>
          </c:tx>
          <c:invertIfNegative val="0"/>
          <c:cat>
            <c:strRef>
              <c:f>Funcionarios!$K$5:$K$9</c:f>
              <c:strCache>
                <c:ptCount val="5"/>
                <c:pt idx="0">
                  <c:v>Ponto 1</c:v>
                </c:pt>
                <c:pt idx="1">
                  <c:v>Ponto 2</c:v>
                </c:pt>
                <c:pt idx="2">
                  <c:v>Ponto 3</c:v>
                </c:pt>
                <c:pt idx="3">
                  <c:v>Ponto 4</c:v>
                </c:pt>
                <c:pt idx="4">
                  <c:v>Ponto 5</c:v>
                </c:pt>
              </c:strCache>
            </c:strRef>
          </c:cat>
          <c:val>
            <c:numRef>
              <c:f>Funcionarios!$L$5:$L$9</c:f>
              <c:numCache>
                <c:formatCode>General</c:formatCode>
                <c:ptCount val="5"/>
                <c:pt idx="0">
                  <c:v>0</c:v>
                </c:pt>
                <c:pt idx="1">
                  <c:v>21</c:v>
                </c:pt>
                <c:pt idx="2">
                  <c:v>12</c:v>
                </c:pt>
                <c:pt idx="3">
                  <c:v>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3-49DF-B444-6F05C3A6E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Pontuação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Por Departamento</c:v>
          </c:tx>
          <c:invertIfNegative val="0"/>
          <c:cat>
            <c:strRef>
              <c:f>Funcionarios!$K$12:$K$17</c:f>
              <c:strCache>
                <c:ptCount val="6"/>
                <c:pt idx="0">
                  <c:v>recepção</c:v>
                </c:pt>
                <c:pt idx="1">
                  <c:v>cozinha</c:v>
                </c:pt>
                <c:pt idx="2">
                  <c:v>serviço</c:v>
                </c:pt>
                <c:pt idx="3">
                  <c:v>manutenção</c:v>
                </c:pt>
                <c:pt idx="4">
                  <c:v>governança</c:v>
                </c:pt>
                <c:pt idx="5">
                  <c:v>controle de perdas</c:v>
                </c:pt>
              </c:strCache>
            </c:strRef>
          </c:cat>
          <c:val>
            <c:numRef>
              <c:f>Funcionarios!$L$12:$L$17</c:f>
              <c:numCache>
                <c:formatCode>General</c:formatCode>
                <c:ptCount val="6"/>
                <c:pt idx="0">
                  <c:v>6</c:v>
                </c:pt>
                <c:pt idx="1">
                  <c:v>11</c:v>
                </c:pt>
                <c:pt idx="2">
                  <c:v>15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3-4DB3-8E70-404985EE3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Departamento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por departamento</c:v>
          </c:tx>
          <c:invertIfNegative val="0"/>
          <c:cat>
            <c:strRef>
              <c:f>Distribuicao!$J$3:$J$8</c:f>
              <c:strCache>
                <c:ptCount val="6"/>
                <c:pt idx="0">
                  <c:v>recepção</c:v>
                </c:pt>
                <c:pt idx="1">
                  <c:v>cozinha</c:v>
                </c:pt>
                <c:pt idx="2">
                  <c:v>serviço</c:v>
                </c:pt>
                <c:pt idx="3">
                  <c:v>manutenção</c:v>
                </c:pt>
                <c:pt idx="4">
                  <c:v>governança</c:v>
                </c:pt>
                <c:pt idx="5">
                  <c:v>controle de perdas</c:v>
                </c:pt>
              </c:strCache>
            </c:strRef>
          </c:cat>
          <c:val>
            <c:numRef>
              <c:f>Distribuicao!$K$3:$K$8</c:f>
              <c:numCache>
                <c:formatCode>\R\$\ #,##0.00</c:formatCode>
                <c:ptCount val="6"/>
                <c:pt idx="0">
                  <c:v>3983.3213375481482</c:v>
                </c:pt>
                <c:pt idx="1">
                  <c:v>5849.5034081718541</c:v>
                </c:pt>
                <c:pt idx="2">
                  <c:v>6033.0855880896315</c:v>
                </c:pt>
                <c:pt idx="3">
                  <c:v>2586.5645211674073</c:v>
                </c:pt>
                <c:pt idx="4">
                  <c:v>2447.8850790444444</c:v>
                </c:pt>
                <c:pt idx="5">
                  <c:v>1610.3611159777779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1-4A54-A1D2-B90CCE98B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Departamento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</a:t>
                </a:r>
              </a:p>
            </c:rich>
          </c:tx>
          <c:overlay val="0"/>
        </c:title>
        <c:numFmt formatCode="\R\$\ #,##0.0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Qtd funcionários</c:v>
          </c:tx>
          <c:invertIfNegative val="0"/>
          <c:cat>
            <c:strRef>
              <c:f>Distribuicao!$J$3:$J$8</c:f>
              <c:strCache>
                <c:ptCount val="6"/>
                <c:pt idx="0">
                  <c:v>recepção</c:v>
                </c:pt>
                <c:pt idx="1">
                  <c:v>cozinha</c:v>
                </c:pt>
                <c:pt idx="2">
                  <c:v>serviço</c:v>
                </c:pt>
                <c:pt idx="3">
                  <c:v>manutenção</c:v>
                </c:pt>
                <c:pt idx="4">
                  <c:v>governança</c:v>
                </c:pt>
                <c:pt idx="5">
                  <c:v>controle de perdas</c:v>
                </c:pt>
              </c:strCache>
            </c:strRef>
          </c:cat>
          <c:val>
            <c:numRef>
              <c:f>Distribuicao!$L$3:$L$8</c:f>
              <c:numCache>
                <c:formatCode>General</c:formatCode>
                <c:ptCount val="6"/>
                <c:pt idx="0">
                  <c:v>6</c:v>
                </c:pt>
                <c:pt idx="1">
                  <c:v>11</c:v>
                </c:pt>
                <c:pt idx="2">
                  <c:v>15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E-48BD-A43E-DEF01FF76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Departamento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0</xdr:colOff>
      <xdr:row>11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18</xdr:row>
      <xdr:rowOff>0</xdr:rowOff>
    </xdr:from>
    <xdr:to>
      <xdr:col>10</xdr:col>
      <xdr:colOff>1400175</xdr:colOff>
      <xdr:row>29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10</xdr:col>
      <xdr:colOff>1400175</xdr:colOff>
      <xdr:row>37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22</xdr:col>
      <xdr:colOff>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18</xdr:row>
      <xdr:rowOff>0</xdr:rowOff>
    </xdr:from>
    <xdr:to>
      <xdr:col>22</xdr:col>
      <xdr:colOff>0</xdr:colOff>
      <xdr:row>35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91" totalsRowShown="0">
  <autoFilter ref="A1:G191" xr:uid="{00000000-0009-0000-0100-000001000000}"/>
  <sortState xmlns:xlrd2="http://schemas.microsoft.com/office/spreadsheetml/2017/richdata2" ref="A2:G46">
    <sortCondition ref="A1:A191"/>
  </sortState>
  <tableColumns count="7">
    <tableColumn id="1" xr3:uid="{00000000-0010-0000-0000-000001000000}" name="Nome"/>
    <tableColumn id="2" xr3:uid="{00000000-0010-0000-0000-000002000000}" name="Departamento"/>
    <tableColumn id="3" xr3:uid="{00000000-0010-0000-0000-000003000000}" name="DataAdmissao"/>
    <tableColumn id="4" xr3:uid="{00000000-0010-0000-0000-000004000000}" name="Pontos"/>
    <tableColumn id="5" xr3:uid="{00000000-0010-0000-0000-000005000000}" name="DeducaoIndividual"/>
    <tableColumn id="6" xr3:uid="{00000000-0010-0000-0000-000006000000}" name="BonificacaoIndividual"/>
    <tableColumn id="7" xr3:uid="{00000000-0010-0000-0000-000007000000}" name="DiasTrabalhado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I1:I7" totalsRowShown="0">
  <autoFilter ref="I1:I7" xr:uid="{00000000-0009-0000-0100-000002000000}"/>
  <tableColumns count="1">
    <tableColumn id="1" xr3:uid="{00000000-0010-0000-0100-000001000000}" name="Departament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pane ySplit="2" topLeftCell="A12" activePane="bottomLeft" state="frozen"/>
      <selection pane="bottomLeft" activeCell="B33" sqref="B33"/>
    </sheetView>
  </sheetViews>
  <sheetFormatPr defaultRowHeight="15" x14ac:dyDescent="0.25"/>
  <cols>
    <col min="1" max="1" width="32.7109375" customWidth="1"/>
    <col min="2" max="2" width="22.7109375" customWidth="1"/>
    <col min="3" max="4" width="16.7109375" customWidth="1"/>
  </cols>
  <sheetData>
    <row r="1" spans="1:4" ht="18.75" x14ac:dyDescent="0.3">
      <c r="A1" s="1" t="s">
        <v>0</v>
      </c>
    </row>
    <row r="3" spans="1:4" x14ac:dyDescent="0.25">
      <c r="A3" s="2" t="s">
        <v>1</v>
      </c>
      <c r="B3" s="3">
        <v>0</v>
      </c>
    </row>
    <row r="4" spans="1:4" x14ac:dyDescent="0.25">
      <c r="A4" s="2" t="s">
        <v>2</v>
      </c>
      <c r="B4" s="3">
        <v>35629.21</v>
      </c>
    </row>
    <row r="5" spans="1:4" x14ac:dyDescent="0.25">
      <c r="A5" s="2" t="s">
        <v>3</v>
      </c>
      <c r="B5" s="4">
        <v>0.8</v>
      </c>
    </row>
    <row r="6" spans="1:4" x14ac:dyDescent="0.25">
      <c r="A6" s="2" t="s">
        <v>4</v>
      </c>
      <c r="B6" s="5">
        <f>B3+B4</f>
        <v>35629.21</v>
      </c>
    </row>
    <row r="8" spans="1:4" x14ac:dyDescent="0.25">
      <c r="A8" s="6" t="s">
        <v>5</v>
      </c>
      <c r="B8" s="6" t="s">
        <v>6</v>
      </c>
      <c r="C8" s="6" t="s">
        <v>7</v>
      </c>
      <c r="D8" s="6" t="s">
        <v>8</v>
      </c>
    </row>
    <row r="9" spans="1:4" x14ac:dyDescent="0.25">
      <c r="A9" t="s">
        <v>9</v>
      </c>
      <c r="B9" s="5">
        <f>B6</f>
        <v>35629.21</v>
      </c>
      <c r="C9" s="7">
        <v>0.2</v>
      </c>
      <c r="D9" s="5">
        <f>B9*C9</f>
        <v>7125.8420000000006</v>
      </c>
    </row>
    <row r="10" spans="1:4" x14ac:dyDescent="0.25">
      <c r="A10" t="s">
        <v>10</v>
      </c>
      <c r="B10" s="5">
        <f>B6-D9</f>
        <v>28503.367999999999</v>
      </c>
      <c r="C10" s="7">
        <v>0.12</v>
      </c>
      <c r="D10" s="5">
        <f>B10*C10</f>
        <v>3420.4041599999996</v>
      </c>
    </row>
    <row r="11" spans="1:4" x14ac:dyDescent="0.25">
      <c r="A11" t="s">
        <v>11</v>
      </c>
      <c r="B11" s="5">
        <f>B6*$B$5</f>
        <v>28503.368000000002</v>
      </c>
      <c r="C11" s="7">
        <v>0.02</v>
      </c>
      <c r="D11" s="5">
        <f>B11*C11</f>
        <v>570.06736000000001</v>
      </c>
    </row>
    <row r="16" spans="1:4" x14ac:dyDescent="0.25">
      <c r="A16" s="2" t="s">
        <v>12</v>
      </c>
      <c r="B16" s="5">
        <f>SUM(D9:D11)</f>
        <v>11116.31352</v>
      </c>
    </row>
    <row r="17" spans="1:4" x14ac:dyDescent="0.25">
      <c r="A17" s="2" t="s">
        <v>13</v>
      </c>
      <c r="B17" s="5">
        <f>B6-B16</f>
        <v>24512.896479999999</v>
      </c>
    </row>
    <row r="18" spans="1:4" x14ac:dyDescent="0.25">
      <c r="A18" s="2" t="s">
        <v>14</v>
      </c>
      <c r="B18" s="5">
        <f>B6-B16-B19-B20-SUM(Funcionarios!$F$2:$F$191)-SUM(Departamentos!$B:$B)</f>
        <v>24512.896479999999</v>
      </c>
    </row>
    <row r="20" spans="1:4" x14ac:dyDescent="0.25">
      <c r="A20" s="2" t="s">
        <v>15</v>
      </c>
      <c r="B20" s="3">
        <v>0</v>
      </c>
    </row>
    <row r="21" spans="1:4" x14ac:dyDescent="0.25">
      <c r="A21" s="2" t="s">
        <v>16</v>
      </c>
      <c r="B21" s="5">
        <f>SUM(Departamentos!$B:$B)</f>
        <v>0</v>
      </c>
    </row>
    <row r="24" spans="1:4" x14ac:dyDescent="0.25">
      <c r="A24" s="6" t="s">
        <v>17</v>
      </c>
      <c r="B24" s="6" t="s">
        <v>6</v>
      </c>
      <c r="C24" s="6" t="s">
        <v>18</v>
      </c>
      <c r="D24" s="6" t="s">
        <v>19</v>
      </c>
    </row>
    <row r="25" spans="1:4" x14ac:dyDescent="0.25">
      <c r="A25" t="s">
        <v>20</v>
      </c>
      <c r="B25" s="5">
        <f>$B$18</f>
        <v>24512.896479999999</v>
      </c>
      <c r="C25" s="7">
        <v>0.1</v>
      </c>
      <c r="D25" s="5">
        <f>B25*C25</f>
        <v>2451.2896479999999</v>
      </c>
    </row>
    <row r="26" spans="1:4" x14ac:dyDescent="0.25">
      <c r="A26" t="s">
        <v>21</v>
      </c>
      <c r="B26" s="5">
        <f>$B$18</f>
        <v>24512.896479999999</v>
      </c>
      <c r="C26" s="7">
        <v>0.3</v>
      </c>
      <c r="D26" s="5">
        <f>B26*C26</f>
        <v>7353.8689439999998</v>
      </c>
    </row>
    <row r="27" spans="1:4" x14ac:dyDescent="0.25">
      <c r="A27" t="s">
        <v>22</v>
      </c>
      <c r="B27" s="5">
        <f>$B$18</f>
        <v>24512.896479999999</v>
      </c>
      <c r="C27" s="7">
        <v>0.33</v>
      </c>
      <c r="D27" s="5">
        <f>B27*C27</f>
        <v>8089.2558384000004</v>
      </c>
    </row>
    <row r="28" spans="1:4" x14ac:dyDescent="0.25">
      <c r="A28" t="s">
        <v>23</v>
      </c>
      <c r="B28" s="5">
        <f>$B$18</f>
        <v>24512.896479999999</v>
      </c>
      <c r="C28" s="7">
        <v>0.17</v>
      </c>
      <c r="D28" s="5">
        <f>B28*C28</f>
        <v>4167.1924016000003</v>
      </c>
    </row>
    <row r="29" spans="1:4" x14ac:dyDescent="0.25">
      <c r="A29" t="s">
        <v>24</v>
      </c>
      <c r="B29" s="5">
        <f>$B$18</f>
        <v>24512.896479999999</v>
      </c>
      <c r="C29" s="7">
        <v>0.1</v>
      </c>
      <c r="D29" s="5">
        <f>B29*C29</f>
        <v>2451.2896479999999</v>
      </c>
    </row>
    <row r="30" spans="1:4" x14ac:dyDescent="0.25">
      <c r="A30" s="2" t="s">
        <v>25</v>
      </c>
      <c r="C30" s="7">
        <f>SUM(C25:C29)</f>
        <v>1</v>
      </c>
    </row>
    <row r="31" spans="1:4" x14ac:dyDescent="0.25">
      <c r="A31" s="2" t="s">
        <v>26</v>
      </c>
      <c r="D31" s="5">
        <f>SUM(D25:D29)</f>
        <v>24512.896480000003</v>
      </c>
    </row>
    <row r="32" spans="1:4" x14ac:dyDescent="0.25">
      <c r="A32" s="2" t="s">
        <v>27</v>
      </c>
      <c r="B32" s="5">
        <f>$B$17-D31</f>
        <v>0</v>
      </c>
    </row>
    <row r="33" spans="1:2" x14ac:dyDescent="0.25">
      <c r="A33" s="2" t="s">
        <v>28</v>
      </c>
      <c r="B33" s="5">
        <f>$B$17-SUM(Distribuicao!$G$2:$G$201)</f>
        <v>2002.1754300007415</v>
      </c>
    </row>
  </sheetData>
  <sheetProtection sheet="1" objects="1" scenarios="1"/>
  <conditionalFormatting sqref="B18">
    <cfRule type="cellIs" dxfId="4" priority="1" operator="greaterThan">
      <formula>0</formula>
    </cfRule>
  </conditionalFormatting>
  <conditionalFormatting sqref="B33">
    <cfRule type="cellIs" dxfId="3" priority="3" operator="notEqual">
      <formula>0</formula>
    </cfRule>
  </conditionalFormatting>
  <conditionalFormatting sqref="C30">
    <cfRule type="cellIs" dxfId="2" priority="2" operator="notEqual">
      <formula>1</formula>
    </cfRule>
  </conditionalFormatting>
  <dataValidations count="2">
    <dataValidation type="decimal" operator="greaterThanOrEqual" allowBlank="1" showInputMessage="1" showErrorMessage="1" sqref="B20 B3:B4" xr:uid="{00000000-0002-0000-0000-000000000000}">
      <formula1>0</formula1>
    </dataValidation>
    <dataValidation type="decimal" allowBlank="1" showInputMessage="1" showErrorMessage="1" sqref="B5 C25:C29" xr:uid="{00000000-0002-0000-0000-000002000000}">
      <formula1>0</formula1>
      <formula2>1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5" x14ac:dyDescent="0.25"/>
  <cols>
    <col min="1" max="1" width="39.28515625" bestFit="1" customWidth="1"/>
    <col min="2" max="2" width="20.7109375" customWidth="1"/>
    <col min="3" max="3" width="16.7109375" customWidth="1"/>
    <col min="4" max="4" width="10.7109375" customWidth="1"/>
    <col min="5" max="7" width="16.7109375" customWidth="1"/>
    <col min="9" max="9" width="24.7109375" customWidth="1"/>
    <col min="11" max="14" width="26.7109375" customWidth="1"/>
  </cols>
  <sheetData>
    <row r="1" spans="1:14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I1" t="s">
        <v>36</v>
      </c>
      <c r="K1" s="6" t="s">
        <v>43</v>
      </c>
    </row>
    <row r="2" spans="1:14" x14ac:dyDescent="0.25">
      <c r="A2" s="9" t="s">
        <v>58</v>
      </c>
      <c r="B2" t="s">
        <v>39</v>
      </c>
      <c r="C2" s="12">
        <v>43586</v>
      </c>
      <c r="D2">
        <v>3</v>
      </c>
      <c r="G2">
        <v>30</v>
      </c>
      <c r="I2" t="s">
        <v>37</v>
      </c>
      <c r="K2" s="2" t="s">
        <v>44</v>
      </c>
      <c r="L2">
        <f>COUNTA($A$2:$A$191)</f>
        <v>45</v>
      </c>
      <c r="M2" s="6" t="s">
        <v>45</v>
      </c>
      <c r="N2">
        <f>1</f>
        <v>1</v>
      </c>
    </row>
    <row r="3" spans="1:14" x14ac:dyDescent="0.25">
      <c r="A3" s="9" t="s">
        <v>95</v>
      </c>
      <c r="B3" t="s">
        <v>40</v>
      </c>
      <c r="C3" s="12">
        <v>36526</v>
      </c>
      <c r="D3">
        <v>3</v>
      </c>
      <c r="G3">
        <v>30</v>
      </c>
      <c r="I3" t="s">
        <v>38</v>
      </c>
    </row>
    <row r="4" spans="1:14" x14ac:dyDescent="0.25">
      <c r="A4" s="9" t="s">
        <v>59</v>
      </c>
      <c r="B4" t="s">
        <v>38</v>
      </c>
      <c r="C4" s="12">
        <v>45627</v>
      </c>
      <c r="D4">
        <v>3</v>
      </c>
      <c r="G4">
        <v>30</v>
      </c>
      <c r="I4" t="s">
        <v>39</v>
      </c>
      <c r="K4" s="6" t="s">
        <v>46</v>
      </c>
    </row>
    <row r="5" spans="1:14" x14ac:dyDescent="0.25">
      <c r="A5" s="10" t="s">
        <v>60</v>
      </c>
      <c r="B5" t="s">
        <v>41</v>
      </c>
      <c r="C5" s="12">
        <v>45901</v>
      </c>
      <c r="D5">
        <v>2</v>
      </c>
      <c r="G5">
        <v>30</v>
      </c>
      <c r="I5" t="s">
        <v>40</v>
      </c>
      <c r="K5" t="s">
        <v>20</v>
      </c>
      <c r="L5">
        <f>COUNTIF($D$2:$D$191,1)</f>
        <v>0</v>
      </c>
      <c r="M5">
        <f>IF($L$2&gt;0,L5/$L$2,0)</f>
        <v>0</v>
      </c>
    </row>
    <row r="6" spans="1:14" x14ac:dyDescent="0.25">
      <c r="A6" s="9" t="s">
        <v>61</v>
      </c>
      <c r="B6" t="s">
        <v>37</v>
      </c>
      <c r="C6" s="12">
        <v>45597</v>
      </c>
      <c r="D6">
        <v>3</v>
      </c>
      <c r="G6">
        <v>30</v>
      </c>
      <c r="I6" t="s">
        <v>41</v>
      </c>
      <c r="K6" t="s">
        <v>21</v>
      </c>
      <c r="L6">
        <f>COUNTIF($D$2:$D$191,2)</f>
        <v>21</v>
      </c>
      <c r="M6">
        <f>IF($L$2&gt;0,L6/$L$2,0)</f>
        <v>0.46666666666666667</v>
      </c>
    </row>
    <row r="7" spans="1:14" x14ac:dyDescent="0.25">
      <c r="A7" s="9" t="s">
        <v>62</v>
      </c>
      <c r="B7" t="s">
        <v>41</v>
      </c>
      <c r="C7" s="12">
        <v>45536</v>
      </c>
      <c r="D7">
        <v>4</v>
      </c>
      <c r="G7">
        <v>30</v>
      </c>
      <c r="I7" t="s">
        <v>42</v>
      </c>
      <c r="K7" t="s">
        <v>22</v>
      </c>
      <c r="L7">
        <f>COUNTIF($D$2:$D$191,3)</f>
        <v>12</v>
      </c>
      <c r="M7">
        <f>IF($L$2&gt;0,L7/$L$2,0)</f>
        <v>0.26666666666666666</v>
      </c>
    </row>
    <row r="8" spans="1:14" x14ac:dyDescent="0.25">
      <c r="A8" s="9" t="s">
        <v>63</v>
      </c>
      <c r="B8" t="s">
        <v>38</v>
      </c>
      <c r="C8" s="12">
        <v>43497</v>
      </c>
      <c r="D8">
        <v>4</v>
      </c>
      <c r="G8">
        <v>30</v>
      </c>
      <c r="K8" t="s">
        <v>23</v>
      </c>
      <c r="L8">
        <f>COUNTIF($D$2:$D$191,4)</f>
        <v>7</v>
      </c>
      <c r="M8">
        <f>IF($L$2&gt;0,L8/$L$2,0)</f>
        <v>0.15555555555555556</v>
      </c>
    </row>
    <row r="9" spans="1:14" x14ac:dyDescent="0.25">
      <c r="A9" s="10" t="s">
        <v>64</v>
      </c>
      <c r="B9" t="s">
        <v>39</v>
      </c>
      <c r="C9" s="12">
        <v>45901</v>
      </c>
      <c r="D9">
        <v>2</v>
      </c>
      <c r="G9">
        <v>30</v>
      </c>
      <c r="K9" t="s">
        <v>24</v>
      </c>
      <c r="L9">
        <f>COUNTIF($D$2:$D$191,5)</f>
        <v>5</v>
      </c>
      <c r="M9">
        <f>IF($L$2&gt;0,L9/$L$2,0)</f>
        <v>0.1111111111111111</v>
      </c>
    </row>
    <row r="10" spans="1:14" x14ac:dyDescent="0.25">
      <c r="A10" s="9" t="s">
        <v>65</v>
      </c>
      <c r="B10" t="s">
        <v>37</v>
      </c>
      <c r="C10" s="12">
        <v>45717</v>
      </c>
      <c r="D10">
        <v>3</v>
      </c>
      <c r="G10">
        <v>30</v>
      </c>
    </row>
    <row r="11" spans="1:14" x14ac:dyDescent="0.25">
      <c r="A11" s="9" t="s">
        <v>66</v>
      </c>
      <c r="B11" t="s">
        <v>42</v>
      </c>
      <c r="C11" s="12">
        <v>44409</v>
      </c>
      <c r="D11">
        <v>5</v>
      </c>
      <c r="G11">
        <v>30</v>
      </c>
      <c r="K11" s="6" t="s">
        <v>47</v>
      </c>
    </row>
    <row r="12" spans="1:14" x14ac:dyDescent="0.25">
      <c r="A12" s="9" t="s">
        <v>90</v>
      </c>
      <c r="B12" t="s">
        <v>38</v>
      </c>
      <c r="C12" s="12">
        <v>45231</v>
      </c>
      <c r="D12">
        <v>5</v>
      </c>
      <c r="G12">
        <v>30</v>
      </c>
      <c r="K12" t="s">
        <v>37</v>
      </c>
      <c r="L12">
        <f>COUNTIF($B$2:$B$191,"recepção")</f>
        <v>6</v>
      </c>
      <c r="M12">
        <f t="shared" ref="M12:M17" si="0">IF($L$2&gt;0,L12/$L$2,0)</f>
        <v>0.13333333333333333</v>
      </c>
    </row>
    <row r="13" spans="1:14" x14ac:dyDescent="0.25">
      <c r="A13" s="9" t="s">
        <v>67</v>
      </c>
      <c r="B13" t="s">
        <v>38</v>
      </c>
      <c r="C13" s="12">
        <v>44866</v>
      </c>
      <c r="D13">
        <v>4</v>
      </c>
      <c r="G13">
        <v>30</v>
      </c>
      <c r="K13" t="s">
        <v>38</v>
      </c>
      <c r="L13">
        <f>COUNTIF($B$2:$B$191,"cozinha")</f>
        <v>11</v>
      </c>
      <c r="M13">
        <f t="shared" si="0"/>
        <v>0.24444444444444444</v>
      </c>
    </row>
    <row r="14" spans="1:14" x14ac:dyDescent="0.25">
      <c r="A14" s="9" t="s">
        <v>68</v>
      </c>
      <c r="B14" t="s">
        <v>39</v>
      </c>
      <c r="C14" s="12">
        <v>45931</v>
      </c>
      <c r="D14">
        <v>2</v>
      </c>
      <c r="G14">
        <v>30</v>
      </c>
      <c r="K14" t="s">
        <v>39</v>
      </c>
      <c r="L14">
        <f>COUNTIF($B$2:$B$191,"serviço")</f>
        <v>15</v>
      </c>
      <c r="M14">
        <f t="shared" si="0"/>
        <v>0.33333333333333331</v>
      </c>
    </row>
    <row r="15" spans="1:14" x14ac:dyDescent="0.25">
      <c r="A15" s="10" t="s">
        <v>92</v>
      </c>
      <c r="B15" t="s">
        <v>40</v>
      </c>
      <c r="C15" s="12">
        <v>45962</v>
      </c>
      <c r="D15">
        <v>2</v>
      </c>
      <c r="G15">
        <v>30</v>
      </c>
      <c r="K15" t="s">
        <v>40</v>
      </c>
      <c r="L15">
        <f>COUNTIF($B$2:$B$191,"manutenção")</f>
        <v>6</v>
      </c>
      <c r="M15">
        <f t="shared" si="0"/>
        <v>0.13333333333333333</v>
      </c>
    </row>
    <row r="16" spans="1:14" x14ac:dyDescent="0.25">
      <c r="A16" s="9" t="s">
        <v>69</v>
      </c>
      <c r="B16" t="s">
        <v>39</v>
      </c>
      <c r="C16" s="12">
        <v>45566</v>
      </c>
      <c r="D16">
        <v>3</v>
      </c>
      <c r="G16">
        <v>30</v>
      </c>
      <c r="K16" t="s">
        <v>41</v>
      </c>
      <c r="L16">
        <f>COUNTIF($B$2:$B$191,"governança")</f>
        <v>5</v>
      </c>
      <c r="M16">
        <f t="shared" si="0"/>
        <v>0.1111111111111111</v>
      </c>
    </row>
    <row r="17" spans="1:13" x14ac:dyDescent="0.25">
      <c r="A17" s="9" t="s">
        <v>70</v>
      </c>
      <c r="B17" t="s">
        <v>41</v>
      </c>
      <c r="C17" s="12">
        <v>45627</v>
      </c>
      <c r="D17">
        <v>3</v>
      </c>
      <c r="G17">
        <v>30</v>
      </c>
      <c r="K17" t="s">
        <v>42</v>
      </c>
      <c r="L17">
        <f>COUNTIF($B$2:$B$191,"controle de perdas")</f>
        <v>2</v>
      </c>
      <c r="M17">
        <f t="shared" si="0"/>
        <v>4.4444444444444446E-2</v>
      </c>
    </row>
    <row r="18" spans="1:13" x14ac:dyDescent="0.25">
      <c r="A18" s="10" t="s">
        <v>71</v>
      </c>
      <c r="B18" t="s">
        <v>38</v>
      </c>
      <c r="C18" s="12">
        <v>45931</v>
      </c>
      <c r="D18">
        <v>2</v>
      </c>
      <c r="G18">
        <v>30</v>
      </c>
    </row>
    <row r="19" spans="1:13" x14ac:dyDescent="0.25">
      <c r="A19" s="11" t="s">
        <v>97</v>
      </c>
      <c r="B19" t="s">
        <v>38</v>
      </c>
      <c r="C19" s="13">
        <v>46296</v>
      </c>
      <c r="D19">
        <v>2</v>
      </c>
      <c r="G19">
        <v>16</v>
      </c>
    </row>
    <row r="20" spans="1:13" x14ac:dyDescent="0.25">
      <c r="A20" s="11" t="s">
        <v>100</v>
      </c>
      <c r="B20" t="s">
        <v>39</v>
      </c>
      <c r="C20" s="12">
        <v>45992</v>
      </c>
      <c r="D20">
        <v>2</v>
      </c>
      <c r="G20">
        <v>10</v>
      </c>
    </row>
    <row r="21" spans="1:13" x14ac:dyDescent="0.25">
      <c r="A21" s="10" t="s">
        <v>72</v>
      </c>
      <c r="B21" t="s">
        <v>39</v>
      </c>
      <c r="C21" s="12">
        <v>45931</v>
      </c>
      <c r="D21">
        <v>2</v>
      </c>
      <c r="G21">
        <v>30</v>
      </c>
    </row>
    <row r="22" spans="1:13" x14ac:dyDescent="0.25">
      <c r="A22" s="9" t="s">
        <v>73</v>
      </c>
      <c r="B22" t="s">
        <v>39</v>
      </c>
      <c r="C22" s="12">
        <v>45261</v>
      </c>
      <c r="D22">
        <v>4</v>
      </c>
      <c r="G22">
        <v>30</v>
      </c>
    </row>
    <row r="23" spans="1:13" x14ac:dyDescent="0.25">
      <c r="A23" s="9" t="s">
        <v>74</v>
      </c>
      <c r="B23" t="s">
        <v>41</v>
      </c>
      <c r="C23" s="12">
        <v>45261</v>
      </c>
      <c r="D23">
        <v>3</v>
      </c>
      <c r="G23">
        <v>30</v>
      </c>
    </row>
    <row r="24" spans="1:13" x14ac:dyDescent="0.25">
      <c r="A24" s="9" t="s">
        <v>94</v>
      </c>
      <c r="B24" t="s">
        <v>40</v>
      </c>
      <c r="C24" s="12">
        <v>45597</v>
      </c>
      <c r="D24">
        <v>5</v>
      </c>
      <c r="G24">
        <v>30</v>
      </c>
    </row>
    <row r="25" spans="1:13" x14ac:dyDescent="0.25">
      <c r="A25" s="9" t="s">
        <v>75</v>
      </c>
      <c r="B25" t="s">
        <v>39</v>
      </c>
      <c r="C25" s="12">
        <v>44835</v>
      </c>
      <c r="D25">
        <v>4</v>
      </c>
      <c r="G25">
        <v>30</v>
      </c>
    </row>
    <row r="26" spans="1:13" x14ac:dyDescent="0.25">
      <c r="A26" s="10" t="s">
        <v>91</v>
      </c>
      <c r="B26" t="s">
        <v>37</v>
      </c>
      <c r="C26" s="12">
        <v>45566</v>
      </c>
      <c r="D26">
        <v>5</v>
      </c>
      <c r="E26">
        <v>468.72</v>
      </c>
      <c r="G26">
        <v>30</v>
      </c>
    </row>
    <row r="27" spans="1:13" x14ac:dyDescent="0.25">
      <c r="A27" s="9" t="s">
        <v>76</v>
      </c>
      <c r="B27" t="s">
        <v>41</v>
      </c>
      <c r="C27" s="12">
        <v>45931</v>
      </c>
      <c r="D27">
        <v>2</v>
      </c>
      <c r="G27">
        <v>30</v>
      </c>
    </row>
    <row r="28" spans="1:13" x14ac:dyDescent="0.25">
      <c r="A28" s="11" t="s">
        <v>96</v>
      </c>
      <c r="B28" t="s">
        <v>39</v>
      </c>
      <c r="C28" s="12">
        <v>45992</v>
      </c>
      <c r="D28">
        <v>5</v>
      </c>
      <c r="E28">
        <v>198.07</v>
      </c>
      <c r="G28">
        <v>15</v>
      </c>
    </row>
    <row r="29" spans="1:13" x14ac:dyDescent="0.25">
      <c r="A29" t="s">
        <v>102</v>
      </c>
      <c r="B29" t="s">
        <v>40</v>
      </c>
      <c r="C29" s="13">
        <v>46025</v>
      </c>
      <c r="D29">
        <v>2</v>
      </c>
      <c r="G29">
        <v>12</v>
      </c>
    </row>
    <row r="30" spans="1:13" x14ac:dyDescent="0.25">
      <c r="A30" s="10" t="s">
        <v>93</v>
      </c>
      <c r="B30" t="s">
        <v>39</v>
      </c>
      <c r="C30" s="12">
        <v>45992</v>
      </c>
      <c r="D30">
        <v>2</v>
      </c>
      <c r="G30">
        <v>30</v>
      </c>
    </row>
    <row r="31" spans="1:13" x14ac:dyDescent="0.25">
      <c r="A31" s="9" t="s">
        <v>77</v>
      </c>
      <c r="B31" t="s">
        <v>39</v>
      </c>
      <c r="C31" s="12">
        <v>44409</v>
      </c>
      <c r="D31">
        <v>3</v>
      </c>
      <c r="G31">
        <v>30</v>
      </c>
    </row>
    <row r="32" spans="1:13" x14ac:dyDescent="0.25">
      <c r="A32" s="10" t="s">
        <v>78</v>
      </c>
      <c r="B32" t="s">
        <v>39</v>
      </c>
      <c r="C32" s="12">
        <v>45931</v>
      </c>
      <c r="D32">
        <v>2</v>
      </c>
      <c r="G32">
        <v>30</v>
      </c>
    </row>
    <row r="33" spans="1:7" x14ac:dyDescent="0.25">
      <c r="A33" t="s">
        <v>101</v>
      </c>
      <c r="B33" t="s">
        <v>37</v>
      </c>
      <c r="C33" s="13">
        <v>46368</v>
      </c>
      <c r="D33">
        <v>2</v>
      </c>
      <c r="G33">
        <v>20</v>
      </c>
    </row>
    <row r="34" spans="1:7" x14ac:dyDescent="0.25">
      <c r="A34" s="9" t="s">
        <v>79</v>
      </c>
      <c r="B34" t="s">
        <v>38</v>
      </c>
      <c r="C34" s="12">
        <v>44409</v>
      </c>
      <c r="D34">
        <v>3</v>
      </c>
      <c r="G34">
        <v>30</v>
      </c>
    </row>
    <row r="35" spans="1:7" x14ac:dyDescent="0.25">
      <c r="A35" s="9" t="s">
        <v>80</v>
      </c>
      <c r="B35" t="s">
        <v>39</v>
      </c>
      <c r="C35" s="12">
        <v>45992</v>
      </c>
      <c r="D35">
        <v>2</v>
      </c>
      <c r="G35">
        <v>30</v>
      </c>
    </row>
    <row r="36" spans="1:7" x14ac:dyDescent="0.25">
      <c r="A36" s="11" t="s">
        <v>81</v>
      </c>
      <c r="B36" t="s">
        <v>38</v>
      </c>
      <c r="C36" s="12">
        <v>45870</v>
      </c>
      <c r="D36">
        <v>2</v>
      </c>
      <c r="G36">
        <v>30</v>
      </c>
    </row>
    <row r="37" spans="1:7" x14ac:dyDescent="0.25">
      <c r="A37" s="11" t="s">
        <v>98</v>
      </c>
      <c r="B37" t="s">
        <v>40</v>
      </c>
      <c r="C37" s="13">
        <v>46260</v>
      </c>
      <c r="D37">
        <v>2</v>
      </c>
      <c r="G37">
        <v>16</v>
      </c>
    </row>
    <row r="38" spans="1:7" x14ac:dyDescent="0.25">
      <c r="A38" s="9" t="s">
        <v>82</v>
      </c>
      <c r="B38" t="s">
        <v>40</v>
      </c>
      <c r="C38" s="12">
        <v>45839</v>
      </c>
      <c r="D38">
        <v>2</v>
      </c>
      <c r="G38">
        <v>30</v>
      </c>
    </row>
    <row r="39" spans="1:7" x14ac:dyDescent="0.25">
      <c r="A39" s="9" t="s">
        <v>83</v>
      </c>
      <c r="B39" t="s">
        <v>37</v>
      </c>
      <c r="C39" s="12">
        <v>44713</v>
      </c>
      <c r="D39">
        <v>4</v>
      </c>
      <c r="G39">
        <v>30</v>
      </c>
    </row>
    <row r="40" spans="1:7" x14ac:dyDescent="0.25">
      <c r="A40" s="10" t="s">
        <v>84</v>
      </c>
      <c r="B40" t="s">
        <v>38</v>
      </c>
      <c r="C40" s="12">
        <v>45839</v>
      </c>
      <c r="D40">
        <v>2</v>
      </c>
      <c r="G40">
        <v>30</v>
      </c>
    </row>
    <row r="41" spans="1:7" x14ac:dyDescent="0.25">
      <c r="A41" s="9" t="s">
        <v>85</v>
      </c>
      <c r="B41" t="s">
        <v>42</v>
      </c>
      <c r="C41" s="12">
        <v>45870</v>
      </c>
      <c r="D41">
        <v>2</v>
      </c>
      <c r="G41">
        <v>30</v>
      </c>
    </row>
    <row r="42" spans="1:7" x14ac:dyDescent="0.25">
      <c r="A42" s="9" t="s">
        <v>86</v>
      </c>
      <c r="B42" t="s">
        <v>37</v>
      </c>
      <c r="C42" s="12">
        <v>45261</v>
      </c>
      <c r="D42">
        <v>4</v>
      </c>
      <c r="G42">
        <v>30</v>
      </c>
    </row>
    <row r="43" spans="1:7" x14ac:dyDescent="0.25">
      <c r="A43" s="9" t="s">
        <v>87</v>
      </c>
      <c r="B43" t="s">
        <v>38</v>
      </c>
      <c r="C43" s="12">
        <v>44652</v>
      </c>
      <c r="D43">
        <v>3</v>
      </c>
      <c r="G43">
        <v>30</v>
      </c>
    </row>
    <row r="44" spans="1:7" x14ac:dyDescent="0.25">
      <c r="A44" s="10" t="s">
        <v>88</v>
      </c>
      <c r="B44" t="s">
        <v>38</v>
      </c>
      <c r="C44" s="12">
        <v>45992</v>
      </c>
      <c r="D44">
        <v>2</v>
      </c>
      <c r="G44">
        <v>30</v>
      </c>
    </row>
    <row r="45" spans="1:7" x14ac:dyDescent="0.25">
      <c r="A45" s="11" t="s">
        <v>89</v>
      </c>
      <c r="B45" t="s">
        <v>39</v>
      </c>
      <c r="C45" s="12">
        <v>45689</v>
      </c>
      <c r="D45">
        <v>3</v>
      </c>
      <c r="G45">
        <v>30</v>
      </c>
    </row>
    <row r="46" spans="1:7" x14ac:dyDescent="0.25">
      <c r="A46" s="11" t="s">
        <v>99</v>
      </c>
      <c r="B46" t="s">
        <v>39</v>
      </c>
      <c r="C46" s="12">
        <v>45992</v>
      </c>
      <c r="D46">
        <v>2</v>
      </c>
      <c r="G46">
        <v>18</v>
      </c>
    </row>
  </sheetData>
  <conditionalFormatting sqref="A2:G192">
    <cfRule type="expression" dxfId="1" priority="1">
      <formula>MOD(ROW(),2)=0</formula>
    </cfRule>
  </conditionalFormatting>
  <dataValidations count="4">
    <dataValidation type="whole" allowBlank="1" showInputMessage="1" showErrorMessage="1" sqref="D2:D191" xr:uid="{00000000-0002-0000-0100-000000000000}">
      <formula1>1</formula1>
      <formula2>5</formula2>
    </dataValidation>
    <dataValidation type="decimal" operator="greaterThanOrEqual" allowBlank="1" showInputMessage="1" showErrorMessage="1" sqref="E2:F191" xr:uid="{00000000-0002-0000-0100-000001000000}">
      <formula1>0</formula1>
    </dataValidation>
    <dataValidation type="whole" allowBlank="1" showInputMessage="1" showErrorMessage="1" sqref="G2:G191" xr:uid="{00000000-0002-0000-0100-000003000000}">
      <formula1>0</formula1>
      <formula2>30</formula2>
    </dataValidation>
    <dataValidation type="list" allowBlank="1" showInputMessage="1" showErrorMessage="1" sqref="B2:B191" xr:uid="{00000000-0002-0000-0100-000004000000}">
      <formula1>ListaDepartamentos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2"/>
  <sheetViews>
    <sheetView workbookViewId="0">
      <pane ySplit="1" topLeftCell="A2" activePane="bottomLeft" state="frozen"/>
      <selection pane="bottomLeft" activeCell="A61" sqref="A61"/>
    </sheetView>
  </sheetViews>
  <sheetFormatPr defaultRowHeight="15" x14ac:dyDescent="0.25"/>
  <cols>
    <col min="1" max="1" width="28.7109375" customWidth="1"/>
    <col min="2" max="2" width="16.7109375" customWidth="1"/>
    <col min="3" max="3" width="18.7109375" hidden="1" customWidth="1"/>
  </cols>
  <sheetData>
    <row r="1" spans="1:3" x14ac:dyDescent="0.25">
      <c r="A1" s="6" t="s">
        <v>37</v>
      </c>
    </row>
    <row r="2" spans="1:3" x14ac:dyDescent="0.25">
      <c r="A2" s="6" t="s">
        <v>48</v>
      </c>
      <c r="B2" s="6" t="s">
        <v>49</v>
      </c>
    </row>
    <row r="3" spans="1:3" x14ac:dyDescent="0.25">
      <c r="A3" s="8"/>
      <c r="B3" s="3">
        <v>0</v>
      </c>
      <c r="C3" t="s">
        <v>37</v>
      </c>
    </row>
    <row r="4" spans="1:3" x14ac:dyDescent="0.25">
      <c r="A4" s="8"/>
      <c r="B4" s="3">
        <v>0</v>
      </c>
      <c r="C4" t="s">
        <v>37</v>
      </c>
    </row>
    <row r="5" spans="1:3" x14ac:dyDescent="0.25">
      <c r="A5" s="8"/>
      <c r="B5" s="3">
        <v>0</v>
      </c>
      <c r="C5" t="s">
        <v>37</v>
      </c>
    </row>
    <row r="6" spans="1:3" x14ac:dyDescent="0.25">
      <c r="A6" s="8"/>
      <c r="B6" s="3">
        <v>0</v>
      </c>
      <c r="C6" t="s">
        <v>37</v>
      </c>
    </row>
    <row r="7" spans="1:3" x14ac:dyDescent="0.25">
      <c r="A7" s="8"/>
      <c r="B7" s="3">
        <v>0</v>
      </c>
      <c r="C7" t="s">
        <v>37</v>
      </c>
    </row>
    <row r="8" spans="1:3" x14ac:dyDescent="0.25">
      <c r="A8" s="8"/>
      <c r="B8" s="3">
        <v>0</v>
      </c>
      <c r="C8" t="s">
        <v>37</v>
      </c>
    </row>
    <row r="9" spans="1:3" x14ac:dyDescent="0.25">
      <c r="A9" s="8"/>
      <c r="B9" s="3">
        <v>0</v>
      </c>
      <c r="C9" t="s">
        <v>37</v>
      </c>
    </row>
    <row r="10" spans="1:3" x14ac:dyDescent="0.25">
      <c r="A10" s="8"/>
      <c r="B10" s="3">
        <v>0</v>
      </c>
      <c r="C10" t="s">
        <v>37</v>
      </c>
    </row>
    <row r="11" spans="1:3" x14ac:dyDescent="0.25">
      <c r="A11" s="8"/>
      <c r="B11" s="3">
        <v>0</v>
      </c>
      <c r="C11" t="s">
        <v>37</v>
      </c>
    </row>
    <row r="12" spans="1:3" x14ac:dyDescent="0.25">
      <c r="A12" s="8"/>
      <c r="B12" s="3">
        <v>0</v>
      </c>
      <c r="C12" t="s">
        <v>37</v>
      </c>
    </row>
    <row r="13" spans="1:3" x14ac:dyDescent="0.25">
      <c r="A13" s="6" t="s">
        <v>38</v>
      </c>
    </row>
    <row r="14" spans="1:3" x14ac:dyDescent="0.25">
      <c r="A14" s="6" t="s">
        <v>48</v>
      </c>
      <c r="B14" s="6" t="s">
        <v>49</v>
      </c>
    </row>
    <row r="15" spans="1:3" x14ac:dyDescent="0.25">
      <c r="A15" s="8"/>
      <c r="B15" s="3">
        <v>0</v>
      </c>
      <c r="C15" t="s">
        <v>38</v>
      </c>
    </row>
    <row r="16" spans="1:3" x14ac:dyDescent="0.25">
      <c r="A16" s="8"/>
      <c r="B16" s="3">
        <v>0</v>
      </c>
      <c r="C16" t="s">
        <v>38</v>
      </c>
    </row>
    <row r="17" spans="1:3" x14ac:dyDescent="0.25">
      <c r="A17" s="8"/>
      <c r="B17" s="3">
        <v>0</v>
      </c>
      <c r="C17" t="s">
        <v>38</v>
      </c>
    </row>
    <row r="18" spans="1:3" x14ac:dyDescent="0.25">
      <c r="A18" s="8"/>
      <c r="B18" s="3">
        <v>0</v>
      </c>
      <c r="C18" t="s">
        <v>38</v>
      </c>
    </row>
    <row r="19" spans="1:3" x14ac:dyDescent="0.25">
      <c r="A19" s="8"/>
      <c r="B19" s="3">
        <v>0</v>
      </c>
      <c r="C19" t="s">
        <v>38</v>
      </c>
    </row>
    <row r="20" spans="1:3" x14ac:dyDescent="0.25">
      <c r="A20" s="8"/>
      <c r="B20" s="3">
        <v>0</v>
      </c>
      <c r="C20" t="s">
        <v>38</v>
      </c>
    </row>
    <row r="21" spans="1:3" x14ac:dyDescent="0.25">
      <c r="A21" s="8"/>
      <c r="B21" s="3">
        <v>0</v>
      </c>
      <c r="C21" t="s">
        <v>38</v>
      </c>
    </row>
    <row r="22" spans="1:3" x14ac:dyDescent="0.25">
      <c r="A22" s="8"/>
      <c r="B22" s="3">
        <v>0</v>
      </c>
      <c r="C22" t="s">
        <v>38</v>
      </c>
    </row>
    <row r="23" spans="1:3" x14ac:dyDescent="0.25">
      <c r="A23" s="8"/>
      <c r="B23" s="3">
        <v>0</v>
      </c>
      <c r="C23" t="s">
        <v>38</v>
      </c>
    </row>
    <row r="24" spans="1:3" x14ac:dyDescent="0.25">
      <c r="A24" s="8"/>
      <c r="B24" s="3">
        <v>0</v>
      </c>
      <c r="C24" t="s">
        <v>38</v>
      </c>
    </row>
    <row r="25" spans="1:3" x14ac:dyDescent="0.25">
      <c r="A25" s="6" t="s">
        <v>39</v>
      </c>
    </row>
    <row r="26" spans="1:3" x14ac:dyDescent="0.25">
      <c r="A26" s="6" t="s">
        <v>48</v>
      </c>
      <c r="B26" s="6" t="s">
        <v>49</v>
      </c>
    </row>
    <row r="27" spans="1:3" x14ac:dyDescent="0.25">
      <c r="A27" s="8"/>
      <c r="B27" s="3">
        <v>0</v>
      </c>
      <c r="C27" t="s">
        <v>39</v>
      </c>
    </row>
    <row r="28" spans="1:3" x14ac:dyDescent="0.25">
      <c r="A28" s="8"/>
      <c r="B28" s="3">
        <v>0</v>
      </c>
      <c r="C28" t="s">
        <v>39</v>
      </c>
    </row>
    <row r="29" spans="1:3" x14ac:dyDescent="0.25">
      <c r="A29" s="8"/>
      <c r="B29" s="3">
        <v>0</v>
      </c>
      <c r="C29" t="s">
        <v>39</v>
      </c>
    </row>
    <row r="30" spans="1:3" x14ac:dyDescent="0.25">
      <c r="A30" s="8"/>
      <c r="B30" s="3">
        <v>0</v>
      </c>
      <c r="C30" t="s">
        <v>39</v>
      </c>
    </row>
    <row r="31" spans="1:3" x14ac:dyDescent="0.25">
      <c r="A31" s="8"/>
      <c r="B31" s="3">
        <v>0</v>
      </c>
      <c r="C31" t="s">
        <v>39</v>
      </c>
    </row>
    <row r="32" spans="1:3" x14ac:dyDescent="0.25">
      <c r="A32" s="8"/>
      <c r="B32" s="3">
        <v>0</v>
      </c>
      <c r="C32" t="s">
        <v>39</v>
      </c>
    </row>
    <row r="33" spans="1:3" x14ac:dyDescent="0.25">
      <c r="A33" s="8"/>
      <c r="B33" s="3">
        <v>0</v>
      </c>
      <c r="C33" t="s">
        <v>39</v>
      </c>
    </row>
    <row r="34" spans="1:3" x14ac:dyDescent="0.25">
      <c r="A34" s="8"/>
      <c r="B34" s="3">
        <v>0</v>
      </c>
      <c r="C34" t="s">
        <v>39</v>
      </c>
    </row>
    <row r="35" spans="1:3" x14ac:dyDescent="0.25">
      <c r="A35" s="8"/>
      <c r="B35" s="3">
        <v>0</v>
      </c>
      <c r="C35" t="s">
        <v>39</v>
      </c>
    </row>
    <row r="36" spans="1:3" x14ac:dyDescent="0.25">
      <c r="A36" s="8"/>
      <c r="B36" s="3">
        <v>0</v>
      </c>
      <c r="C36" t="s">
        <v>39</v>
      </c>
    </row>
    <row r="37" spans="1:3" x14ac:dyDescent="0.25">
      <c r="A37" s="6" t="s">
        <v>40</v>
      </c>
    </row>
    <row r="38" spans="1:3" x14ac:dyDescent="0.25">
      <c r="A38" s="6" t="s">
        <v>48</v>
      </c>
      <c r="B38" s="6" t="s">
        <v>49</v>
      </c>
    </row>
    <row r="39" spans="1:3" x14ac:dyDescent="0.25">
      <c r="A39" s="8"/>
      <c r="B39" s="3">
        <v>0</v>
      </c>
      <c r="C39" t="s">
        <v>40</v>
      </c>
    </row>
    <row r="40" spans="1:3" x14ac:dyDescent="0.25">
      <c r="A40" s="8"/>
      <c r="B40" s="3">
        <v>0</v>
      </c>
      <c r="C40" t="s">
        <v>40</v>
      </c>
    </row>
    <row r="41" spans="1:3" x14ac:dyDescent="0.25">
      <c r="A41" s="8"/>
      <c r="B41" s="3">
        <v>0</v>
      </c>
      <c r="C41" t="s">
        <v>40</v>
      </c>
    </row>
    <row r="42" spans="1:3" x14ac:dyDescent="0.25">
      <c r="A42" s="8"/>
      <c r="B42" s="3">
        <v>0</v>
      </c>
      <c r="C42" t="s">
        <v>40</v>
      </c>
    </row>
    <row r="43" spans="1:3" x14ac:dyDescent="0.25">
      <c r="A43" s="8"/>
      <c r="B43" s="3">
        <v>0</v>
      </c>
      <c r="C43" t="s">
        <v>40</v>
      </c>
    </row>
    <row r="44" spans="1:3" x14ac:dyDescent="0.25">
      <c r="A44" s="8"/>
      <c r="B44" s="3">
        <v>0</v>
      </c>
      <c r="C44" t="s">
        <v>40</v>
      </c>
    </row>
    <row r="45" spans="1:3" x14ac:dyDescent="0.25">
      <c r="A45" s="8"/>
      <c r="B45" s="3">
        <v>0</v>
      </c>
      <c r="C45" t="s">
        <v>40</v>
      </c>
    </row>
    <row r="46" spans="1:3" x14ac:dyDescent="0.25">
      <c r="A46" s="8"/>
      <c r="B46" s="3">
        <v>0</v>
      </c>
      <c r="C46" t="s">
        <v>40</v>
      </c>
    </row>
    <row r="47" spans="1:3" x14ac:dyDescent="0.25">
      <c r="A47" s="8"/>
      <c r="B47" s="3">
        <v>0</v>
      </c>
      <c r="C47" t="s">
        <v>40</v>
      </c>
    </row>
    <row r="48" spans="1:3" x14ac:dyDescent="0.25">
      <c r="A48" s="8"/>
      <c r="B48" s="3">
        <v>0</v>
      </c>
      <c r="C48" t="s">
        <v>40</v>
      </c>
    </row>
    <row r="49" spans="1:3" x14ac:dyDescent="0.25">
      <c r="A49" s="6" t="s">
        <v>41</v>
      </c>
    </row>
    <row r="50" spans="1:3" x14ac:dyDescent="0.25">
      <c r="A50" s="6" t="s">
        <v>48</v>
      </c>
      <c r="B50" s="6" t="s">
        <v>49</v>
      </c>
    </row>
    <row r="51" spans="1:3" x14ac:dyDescent="0.25">
      <c r="A51" s="8"/>
      <c r="B51" s="3">
        <v>0</v>
      </c>
      <c r="C51" t="s">
        <v>41</v>
      </c>
    </row>
    <row r="52" spans="1:3" x14ac:dyDescent="0.25">
      <c r="A52" s="8"/>
      <c r="B52" s="3">
        <v>0</v>
      </c>
      <c r="C52" t="s">
        <v>41</v>
      </c>
    </row>
    <row r="53" spans="1:3" x14ac:dyDescent="0.25">
      <c r="A53" s="8"/>
      <c r="B53" s="3">
        <v>0</v>
      </c>
      <c r="C53" t="s">
        <v>41</v>
      </c>
    </row>
    <row r="54" spans="1:3" x14ac:dyDescent="0.25">
      <c r="A54" s="8"/>
      <c r="B54" s="3">
        <v>0</v>
      </c>
      <c r="C54" t="s">
        <v>41</v>
      </c>
    </row>
    <row r="55" spans="1:3" x14ac:dyDescent="0.25">
      <c r="A55" s="8"/>
      <c r="B55" s="3">
        <v>0</v>
      </c>
      <c r="C55" t="s">
        <v>41</v>
      </c>
    </row>
    <row r="56" spans="1:3" x14ac:dyDescent="0.25">
      <c r="A56" s="8"/>
      <c r="B56" s="3">
        <v>0</v>
      </c>
      <c r="C56" t="s">
        <v>41</v>
      </c>
    </row>
    <row r="57" spans="1:3" x14ac:dyDescent="0.25">
      <c r="A57" s="8"/>
      <c r="B57" s="3">
        <v>0</v>
      </c>
      <c r="C57" t="s">
        <v>41</v>
      </c>
    </row>
    <row r="58" spans="1:3" x14ac:dyDescent="0.25">
      <c r="A58" s="8"/>
      <c r="B58" s="3">
        <v>0</v>
      </c>
      <c r="C58" t="s">
        <v>41</v>
      </c>
    </row>
    <row r="59" spans="1:3" x14ac:dyDescent="0.25">
      <c r="A59" s="8"/>
      <c r="B59" s="3">
        <v>0</v>
      </c>
      <c r="C59" t="s">
        <v>41</v>
      </c>
    </row>
    <row r="60" spans="1:3" x14ac:dyDescent="0.25">
      <c r="A60" s="8"/>
      <c r="B60" s="3">
        <v>0</v>
      </c>
      <c r="C60" t="s">
        <v>41</v>
      </c>
    </row>
    <row r="61" spans="1:3" x14ac:dyDescent="0.25">
      <c r="A61" s="6" t="s">
        <v>42</v>
      </c>
    </row>
    <row r="62" spans="1:3" x14ac:dyDescent="0.25">
      <c r="A62" s="6" t="s">
        <v>48</v>
      </c>
      <c r="B62" s="6" t="s">
        <v>49</v>
      </c>
    </row>
    <row r="63" spans="1:3" x14ac:dyDescent="0.25">
      <c r="A63" s="8"/>
      <c r="B63" s="3">
        <v>0</v>
      </c>
      <c r="C63" t="s">
        <v>42</v>
      </c>
    </row>
    <row r="64" spans="1:3" x14ac:dyDescent="0.25">
      <c r="A64" s="8"/>
      <c r="B64" s="3">
        <v>0</v>
      </c>
      <c r="C64" t="s">
        <v>42</v>
      </c>
    </row>
    <row r="65" spans="1:3" x14ac:dyDescent="0.25">
      <c r="A65" s="8"/>
      <c r="B65" s="3">
        <v>0</v>
      </c>
      <c r="C65" t="s">
        <v>42</v>
      </c>
    </row>
    <row r="66" spans="1:3" x14ac:dyDescent="0.25">
      <c r="A66" s="8"/>
      <c r="B66" s="3">
        <v>0</v>
      </c>
      <c r="C66" t="s">
        <v>42</v>
      </c>
    </row>
    <row r="67" spans="1:3" x14ac:dyDescent="0.25">
      <c r="A67" s="8"/>
      <c r="B67" s="3">
        <v>0</v>
      </c>
      <c r="C67" t="s">
        <v>42</v>
      </c>
    </row>
    <row r="68" spans="1:3" x14ac:dyDescent="0.25">
      <c r="A68" s="8"/>
      <c r="B68" s="3">
        <v>0</v>
      </c>
      <c r="C68" t="s">
        <v>42</v>
      </c>
    </row>
    <row r="69" spans="1:3" x14ac:dyDescent="0.25">
      <c r="A69" s="8"/>
      <c r="B69" s="3">
        <v>0</v>
      </c>
      <c r="C69" t="s">
        <v>42</v>
      </c>
    </row>
    <row r="70" spans="1:3" x14ac:dyDescent="0.25">
      <c r="A70" s="8"/>
      <c r="B70" s="3">
        <v>0</v>
      </c>
      <c r="C70" t="s">
        <v>42</v>
      </c>
    </row>
    <row r="71" spans="1:3" x14ac:dyDescent="0.25">
      <c r="A71" s="8"/>
      <c r="B71" s="3">
        <v>0</v>
      </c>
      <c r="C71" t="s">
        <v>42</v>
      </c>
    </row>
    <row r="72" spans="1:3" x14ac:dyDescent="0.25">
      <c r="A72" s="8"/>
      <c r="B72" s="3">
        <v>0</v>
      </c>
      <c r="C72" t="s">
        <v>42</v>
      </c>
    </row>
  </sheetData>
  <dataValidations count="1">
    <dataValidation type="decimal" operator="greaterThanOrEqual" allowBlank="1" showInputMessage="1" showErrorMessage="1" sqref="B63:B72 B51:B60 B39:B48 B27:B36 B15:B24 B3:B12" xr:uid="{00000000-0002-0000-0200-000000000000}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2"/>
  <sheetViews>
    <sheetView workbookViewId="0">
      <pane ySplit="1" topLeftCell="A5" activePane="bottomLeft" state="frozen"/>
      <selection pane="bottomLeft" activeCell="C24" sqref="C24"/>
    </sheetView>
  </sheetViews>
  <sheetFormatPr defaultRowHeight="15" x14ac:dyDescent="0.25"/>
  <cols>
    <col min="1" max="1" width="37" bestFit="1" customWidth="1"/>
    <col min="2" max="2" width="20.7109375" customWidth="1"/>
    <col min="3" max="8" width="18.7109375" customWidth="1"/>
    <col min="9" max="9" width="16.7109375" customWidth="1"/>
    <col min="10" max="10" width="20.7109375" customWidth="1"/>
    <col min="11" max="11" width="18.7109375" customWidth="1"/>
    <col min="12" max="12" width="14.7109375" customWidth="1"/>
  </cols>
  <sheetData>
    <row r="1" spans="1:12" x14ac:dyDescent="0.25">
      <c r="A1" s="6" t="s">
        <v>50</v>
      </c>
      <c r="B1" s="6" t="s">
        <v>30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26</v>
      </c>
      <c r="I1" s="5">
        <f>SUM($G$2:$G$201)</f>
        <v>22510.721049999258</v>
      </c>
      <c r="J1" s="6" t="s">
        <v>56</v>
      </c>
    </row>
    <row r="2" spans="1:12" x14ac:dyDescent="0.25">
      <c r="A2" t="str">
        <f>Funcionarios!A2</f>
        <v>Adailton dos santos oliveira</v>
      </c>
      <c r="B2" t="str">
        <f>Funcionarios!B2</f>
        <v>serviço</v>
      </c>
      <c r="C2" s="5">
        <f>(IF(AND(Funcionarios!D2&gt;=1,COUNTIF(Funcionarios!$D$2:$D$191,"&gt;=1")&gt;0),(Editavel!$B$17-SUM(Departamentos!$B:$B)-SUM(Funcionarios!$F$2:$F$191))*Editavel!$C$25/COUNTIF(Funcionarios!$D$2:$D$191,"&gt;=1"),0)+IF(AND(Funcionarios!D2&gt;=2,COUNTIF(Funcionarios!$D$2:$D$191,"&gt;=2")&gt;0),(Editavel!$B$17-SUM(Departamentos!$B:$B)-SUM(Funcionarios!$F$2:$F$191))*Editavel!$C$26/COUNTIF(Funcionarios!$D$2:$D$191,"&gt;=2"),0)+IF(AND(Funcionarios!D2&gt;=3,COUNTIF(Funcionarios!$D$2:$D$191,"&gt;=3")&gt;0),(Editavel!$B$17-SUM(Departamentos!$B:$B)-SUM(Funcionarios!$F$2:$F$191))*Editavel!$C$27/COUNTIF(Funcionarios!$D$2:$D$191,"&gt;=3"),0)+IF(AND(Funcionarios!D2&gt;=4,COUNTIF(Funcionarios!$D$2:$D$191,"&gt;=4")&gt;0),(Editavel!$B$17-SUM(Departamentos!$B:$B)-SUM(Funcionarios!$F$2:$F$191))*Editavel!$C$28/COUNTIF(Funcionarios!$D$2:$D$191,"&gt;=4"),0)+IF(AND(Funcionarios!D2&gt;=5,COUNTIF(Funcionarios!$D$2:$D$191,"&gt;=5")&gt;0),(Editavel!$B$17-SUM(Departamentos!$B:$B)-SUM(Funcionarios!$F$2:$F$191))*Editavel!$C$29/COUNTIF(Funcionarios!$D$2:$D$191,"&gt;=5"),0))*IF(Funcionarios!G2&gt;0,Funcionarios!G2/30,1)</f>
        <v>554.94473975555559</v>
      </c>
      <c r="D2" s="5">
        <f>IF(COUNTIF(Funcionarios!$B$2:$B$191,Funcionarios!B2)&gt;0,SUMIFS(Departamentos!$B:$B,Departamentos!$C:$C,Funcionarios!B2)/COUNTIF(Funcionarios!$B$2:$B$191,Funcionarios!B2)*IF(Funcionarios!G2&gt;0,Funcionarios!G2/30,1),0)</f>
        <v>0</v>
      </c>
      <c r="E2" s="5">
        <f>Funcionarios!$F2</f>
        <v>0</v>
      </c>
      <c r="F2" s="5">
        <f>Funcionarios!$E2</f>
        <v>0</v>
      </c>
      <c r="G2" s="5">
        <f t="shared" ref="G2:G65" si="0">MAX(C2+D2+E2-F2,0)</f>
        <v>554.94473975555559</v>
      </c>
      <c r="J2" s="6" t="s">
        <v>30</v>
      </c>
      <c r="K2" s="6" t="s">
        <v>26</v>
      </c>
      <c r="L2" s="6" t="s">
        <v>57</v>
      </c>
    </row>
    <row r="3" spans="1:12" x14ac:dyDescent="0.25">
      <c r="A3" t="str">
        <f>Funcionarios!A3</f>
        <v>Ademir Generali</v>
      </c>
      <c r="B3" t="str">
        <f>Funcionarios!B3</f>
        <v>manutenção</v>
      </c>
      <c r="C3" s="5">
        <f>(IF(AND(Funcionarios!D3&gt;=1,COUNTIF(Funcionarios!$D$2:$D$191,"&gt;=1")&gt;0),(Editavel!$B$17-SUM(Departamentos!$B:$B)-SUM(Funcionarios!$F$2:$F$191))*Editavel!$C$25/COUNTIF(Funcionarios!$D$2:$D$191,"&gt;=1"),0)+IF(AND(Funcionarios!D3&gt;=2,COUNTIF(Funcionarios!$D$2:$D$191,"&gt;=2")&gt;0),(Editavel!$B$17-SUM(Departamentos!$B:$B)-SUM(Funcionarios!$F$2:$F$191))*Editavel!$C$26/COUNTIF(Funcionarios!$D$2:$D$191,"&gt;=2"),0)+IF(AND(Funcionarios!D3&gt;=3,COUNTIF(Funcionarios!$D$2:$D$191,"&gt;=3")&gt;0),(Editavel!$B$17-SUM(Departamentos!$B:$B)-SUM(Funcionarios!$F$2:$F$191))*Editavel!$C$27/COUNTIF(Funcionarios!$D$2:$D$191,"&gt;=3"),0)+IF(AND(Funcionarios!D3&gt;=4,COUNTIF(Funcionarios!$D$2:$D$191,"&gt;=4")&gt;0),(Editavel!$B$17-SUM(Departamentos!$B:$B)-SUM(Funcionarios!$F$2:$F$191))*Editavel!$C$28/COUNTIF(Funcionarios!$D$2:$D$191,"&gt;=4"),0)+IF(AND(Funcionarios!D3&gt;=5,COUNTIF(Funcionarios!$D$2:$D$191,"&gt;=5")&gt;0),(Editavel!$B$17-SUM(Departamentos!$B:$B)-SUM(Funcionarios!$F$2:$F$191))*Editavel!$C$29/COUNTIF(Funcionarios!$D$2:$D$191,"&gt;=5"),0))*IF(Funcionarios!G3&gt;0,Funcionarios!G3/30,1)</f>
        <v>554.94473975555559</v>
      </c>
      <c r="D3" s="5">
        <f>IF(COUNTIF(Funcionarios!$B$2:$B$191,Funcionarios!B3)&gt;0,SUMIFS(Departamentos!$B:$B,Departamentos!$C:$C,Funcionarios!B3)/COUNTIF(Funcionarios!$B$2:$B$191,Funcionarios!B3)*IF(Funcionarios!G3&gt;0,Funcionarios!G3/30,1),0)</f>
        <v>0</v>
      </c>
      <c r="E3" s="5">
        <f>Funcionarios!$F3</f>
        <v>0</v>
      </c>
      <c r="F3" s="5">
        <f>Funcionarios!$E3</f>
        <v>0</v>
      </c>
      <c r="G3" s="5">
        <f t="shared" si="0"/>
        <v>554.94473975555559</v>
      </c>
      <c r="J3" t="s">
        <v>37</v>
      </c>
      <c r="K3" s="5">
        <f t="shared" ref="K3:K8" si="1">SUMIF($B:$B,J3,$G:$G)</f>
        <v>3983.3213375481482</v>
      </c>
      <c r="L3">
        <f t="shared" ref="L3:L8" si="2">COUNTIF($B:$B,J3)</f>
        <v>6</v>
      </c>
    </row>
    <row r="4" spans="1:12" x14ac:dyDescent="0.25">
      <c r="A4" t="str">
        <f>Funcionarios!A4</f>
        <v>Adriana Ferreira Dos Santos</v>
      </c>
      <c r="B4" t="str">
        <f>Funcionarios!B4</f>
        <v>cozinha</v>
      </c>
      <c r="C4" s="5">
        <f>(IF(AND(Funcionarios!D4&gt;=1,COUNTIF(Funcionarios!$D$2:$D$191,"&gt;=1")&gt;0),(Editavel!$B$17-SUM(Departamentos!$B:$B)-SUM(Funcionarios!$F$2:$F$191))*Editavel!$C$25/COUNTIF(Funcionarios!$D$2:$D$191,"&gt;=1"),0)+IF(AND(Funcionarios!D4&gt;=2,COUNTIF(Funcionarios!$D$2:$D$191,"&gt;=2")&gt;0),(Editavel!$B$17-SUM(Departamentos!$B:$B)-SUM(Funcionarios!$F$2:$F$191))*Editavel!$C$26/COUNTIF(Funcionarios!$D$2:$D$191,"&gt;=2"),0)+IF(AND(Funcionarios!D4&gt;=3,COUNTIF(Funcionarios!$D$2:$D$191,"&gt;=3")&gt;0),(Editavel!$B$17-SUM(Departamentos!$B:$B)-SUM(Funcionarios!$F$2:$F$191))*Editavel!$C$27/COUNTIF(Funcionarios!$D$2:$D$191,"&gt;=3"),0)+IF(AND(Funcionarios!D4&gt;=4,COUNTIF(Funcionarios!$D$2:$D$191,"&gt;=4")&gt;0),(Editavel!$B$17-SUM(Departamentos!$B:$B)-SUM(Funcionarios!$F$2:$F$191))*Editavel!$C$28/COUNTIF(Funcionarios!$D$2:$D$191,"&gt;=4"),0)+IF(AND(Funcionarios!D4&gt;=5,COUNTIF(Funcionarios!$D$2:$D$191,"&gt;=5")&gt;0),(Editavel!$B$17-SUM(Departamentos!$B:$B)-SUM(Funcionarios!$F$2:$F$191))*Editavel!$C$29/COUNTIF(Funcionarios!$D$2:$D$191,"&gt;=5"),0))*IF(Funcionarios!G4&gt;0,Funcionarios!G4/30,1)</f>
        <v>554.94473975555559</v>
      </c>
      <c r="D4" s="5">
        <f>IF(COUNTIF(Funcionarios!$B$2:$B$191,Funcionarios!B4)&gt;0,SUMIFS(Departamentos!$B:$B,Departamentos!$C:$C,Funcionarios!B4)/COUNTIF(Funcionarios!$B$2:$B$191,Funcionarios!B4)*IF(Funcionarios!G4&gt;0,Funcionarios!G4/30,1),0)</f>
        <v>0</v>
      </c>
      <c r="E4" s="5">
        <f>Funcionarios!$F4</f>
        <v>0</v>
      </c>
      <c r="F4" s="5">
        <f>Funcionarios!$E4</f>
        <v>0</v>
      </c>
      <c r="G4" s="5">
        <f t="shared" si="0"/>
        <v>554.94473975555559</v>
      </c>
      <c r="J4" t="s">
        <v>38</v>
      </c>
      <c r="K4" s="5">
        <f t="shared" si="1"/>
        <v>5849.5034081718541</v>
      </c>
      <c r="L4">
        <f t="shared" si="2"/>
        <v>11</v>
      </c>
    </row>
    <row r="5" spans="1:12" x14ac:dyDescent="0.25">
      <c r="A5" t="str">
        <f>Funcionarios!A5</f>
        <v>Adriana Santos Do Nascimento</v>
      </c>
      <c r="B5" t="str">
        <f>Funcionarios!B5</f>
        <v>governança</v>
      </c>
      <c r="C5" s="5">
        <f>(IF(AND(Funcionarios!D5&gt;=1,COUNTIF(Funcionarios!$D$2:$D$191,"&gt;=1")&gt;0),(Editavel!$B$17-SUM(Departamentos!$B:$B)-SUM(Funcionarios!$F$2:$F$191))*Editavel!$C$25/COUNTIF(Funcionarios!$D$2:$D$191,"&gt;=1"),0)+IF(AND(Funcionarios!D5&gt;=2,COUNTIF(Funcionarios!$D$2:$D$191,"&gt;=2")&gt;0),(Editavel!$B$17-SUM(Departamentos!$B:$B)-SUM(Funcionarios!$F$2:$F$191))*Editavel!$C$26/COUNTIF(Funcionarios!$D$2:$D$191,"&gt;=2"),0)+IF(AND(Funcionarios!D5&gt;=3,COUNTIF(Funcionarios!$D$2:$D$191,"&gt;=3")&gt;0),(Editavel!$B$17-SUM(Departamentos!$B:$B)-SUM(Funcionarios!$F$2:$F$191))*Editavel!$C$27/COUNTIF(Funcionarios!$D$2:$D$191,"&gt;=3"),0)+IF(AND(Funcionarios!D5&gt;=4,COUNTIF(Funcionarios!$D$2:$D$191,"&gt;=4")&gt;0),(Editavel!$B$17-SUM(Departamentos!$B:$B)-SUM(Funcionarios!$F$2:$F$191))*Editavel!$C$28/COUNTIF(Funcionarios!$D$2:$D$191,"&gt;=4"),0)+IF(AND(Funcionarios!D5&gt;=5,COUNTIF(Funcionarios!$D$2:$D$191,"&gt;=5")&gt;0),(Editavel!$B$17-SUM(Departamentos!$B:$B)-SUM(Funcionarios!$F$2:$F$191))*Editavel!$C$29/COUNTIF(Funcionarios!$D$2:$D$191,"&gt;=5"),0))*IF(Funcionarios!G5&gt;0,Funcionarios!G5/30,1)</f>
        <v>217.89241315555554</v>
      </c>
      <c r="D5" s="5">
        <f>IF(COUNTIF(Funcionarios!$B$2:$B$191,Funcionarios!B5)&gt;0,SUMIFS(Departamentos!$B:$B,Departamentos!$C:$C,Funcionarios!B5)/COUNTIF(Funcionarios!$B$2:$B$191,Funcionarios!B5)*IF(Funcionarios!G5&gt;0,Funcionarios!G5/30,1),0)</f>
        <v>0</v>
      </c>
      <c r="E5" s="5">
        <f>Funcionarios!$F5</f>
        <v>0</v>
      </c>
      <c r="F5" s="5">
        <f>Funcionarios!$E5</f>
        <v>0</v>
      </c>
      <c r="G5" s="5">
        <f t="shared" si="0"/>
        <v>217.89241315555554</v>
      </c>
      <c r="J5" t="s">
        <v>39</v>
      </c>
      <c r="K5" s="5">
        <f t="shared" si="1"/>
        <v>6033.0855880896315</v>
      </c>
      <c r="L5">
        <f t="shared" si="2"/>
        <v>15</v>
      </c>
    </row>
    <row r="6" spans="1:12" x14ac:dyDescent="0.25">
      <c r="A6" t="str">
        <f>Funcionarios!A6</f>
        <v>Alan Paiva Lima</v>
      </c>
      <c r="B6" t="str">
        <f>Funcionarios!B6</f>
        <v>recepção</v>
      </c>
      <c r="C6" s="5">
        <f>(IF(AND(Funcionarios!D6&gt;=1,COUNTIF(Funcionarios!$D$2:$D$191,"&gt;=1")&gt;0),(Editavel!$B$17-SUM(Departamentos!$B:$B)-SUM(Funcionarios!$F$2:$F$191))*Editavel!$C$25/COUNTIF(Funcionarios!$D$2:$D$191,"&gt;=1"),0)+IF(AND(Funcionarios!D6&gt;=2,COUNTIF(Funcionarios!$D$2:$D$191,"&gt;=2")&gt;0),(Editavel!$B$17-SUM(Departamentos!$B:$B)-SUM(Funcionarios!$F$2:$F$191))*Editavel!$C$26/COUNTIF(Funcionarios!$D$2:$D$191,"&gt;=2"),0)+IF(AND(Funcionarios!D6&gt;=3,COUNTIF(Funcionarios!$D$2:$D$191,"&gt;=3")&gt;0),(Editavel!$B$17-SUM(Departamentos!$B:$B)-SUM(Funcionarios!$F$2:$F$191))*Editavel!$C$27/COUNTIF(Funcionarios!$D$2:$D$191,"&gt;=3"),0)+IF(AND(Funcionarios!D6&gt;=4,COUNTIF(Funcionarios!$D$2:$D$191,"&gt;=4")&gt;0),(Editavel!$B$17-SUM(Departamentos!$B:$B)-SUM(Funcionarios!$F$2:$F$191))*Editavel!$C$28/COUNTIF(Funcionarios!$D$2:$D$191,"&gt;=4"),0)+IF(AND(Funcionarios!D6&gt;=5,COUNTIF(Funcionarios!$D$2:$D$191,"&gt;=5")&gt;0),(Editavel!$B$17-SUM(Departamentos!$B:$B)-SUM(Funcionarios!$F$2:$F$191))*Editavel!$C$29/COUNTIF(Funcionarios!$D$2:$D$191,"&gt;=5"),0))*IF(Funcionarios!G6&gt;0,Funcionarios!G6/30,1)</f>
        <v>554.94473975555559</v>
      </c>
      <c r="D6" s="5">
        <f>IF(COUNTIF(Funcionarios!$B$2:$B$191,Funcionarios!B6)&gt;0,SUMIFS(Departamentos!$B:$B,Departamentos!$C:$C,Funcionarios!B6)/COUNTIF(Funcionarios!$B$2:$B$191,Funcionarios!B6)*IF(Funcionarios!G6&gt;0,Funcionarios!G6/30,1),0)</f>
        <v>0</v>
      </c>
      <c r="E6" s="5">
        <f>Funcionarios!$F6</f>
        <v>0</v>
      </c>
      <c r="F6" s="5">
        <f>Funcionarios!$E6</f>
        <v>0</v>
      </c>
      <c r="G6" s="5">
        <f t="shared" si="0"/>
        <v>554.94473975555559</v>
      </c>
      <c r="J6" t="s">
        <v>40</v>
      </c>
      <c r="K6" s="5">
        <f t="shared" si="1"/>
        <v>2586.5645211674073</v>
      </c>
      <c r="L6">
        <f t="shared" si="2"/>
        <v>6</v>
      </c>
    </row>
    <row r="7" spans="1:12" x14ac:dyDescent="0.25">
      <c r="A7" t="str">
        <f>Funcionarios!A7</f>
        <v>Andrea Minervino De Melo Vasconcelos</v>
      </c>
      <c r="B7" t="str">
        <f>Funcionarios!B7</f>
        <v>governança</v>
      </c>
      <c r="C7" s="5">
        <f>(IF(AND(Funcionarios!D7&gt;=1,COUNTIF(Funcionarios!$D$2:$D$191,"&gt;=1")&gt;0),(Editavel!$B$17-SUM(Departamentos!$B:$B)-SUM(Funcionarios!$F$2:$F$191))*Editavel!$C$25/COUNTIF(Funcionarios!$D$2:$D$191,"&gt;=1"),0)+IF(AND(Funcionarios!D7&gt;=2,COUNTIF(Funcionarios!$D$2:$D$191,"&gt;=2")&gt;0),(Editavel!$B$17-SUM(Departamentos!$B:$B)-SUM(Funcionarios!$F$2:$F$191))*Editavel!$C$26/COUNTIF(Funcionarios!$D$2:$D$191,"&gt;=2"),0)+IF(AND(Funcionarios!D7&gt;=3,COUNTIF(Funcionarios!$D$2:$D$191,"&gt;=3")&gt;0),(Editavel!$B$17-SUM(Departamentos!$B:$B)-SUM(Funcionarios!$F$2:$F$191))*Editavel!$C$27/COUNTIF(Funcionarios!$D$2:$D$191,"&gt;=3"),0)+IF(AND(Funcionarios!D7&gt;=4,COUNTIF(Funcionarios!$D$2:$D$191,"&gt;=4")&gt;0),(Editavel!$B$17-SUM(Departamentos!$B:$B)-SUM(Funcionarios!$F$2:$F$191))*Editavel!$C$28/COUNTIF(Funcionarios!$D$2:$D$191,"&gt;=4"),0)+IF(AND(Funcionarios!D7&gt;=5,COUNTIF(Funcionarios!$D$2:$D$191,"&gt;=5")&gt;0),(Editavel!$B$17-SUM(Departamentos!$B:$B)-SUM(Funcionarios!$F$2:$F$191))*Editavel!$C$29/COUNTIF(Funcionarios!$D$2:$D$191,"&gt;=5"),0))*IF(Funcionarios!G7&gt;0,Funcionarios!G7/30,1)</f>
        <v>902.21077322222231</v>
      </c>
      <c r="D7" s="5">
        <f>IF(COUNTIF(Funcionarios!$B$2:$B$191,Funcionarios!B7)&gt;0,SUMIFS(Departamentos!$B:$B,Departamentos!$C:$C,Funcionarios!B7)/COUNTIF(Funcionarios!$B$2:$B$191,Funcionarios!B7)*IF(Funcionarios!G7&gt;0,Funcionarios!G7/30,1),0)</f>
        <v>0</v>
      </c>
      <c r="E7" s="5">
        <f>Funcionarios!$F7</f>
        <v>0</v>
      </c>
      <c r="F7" s="5">
        <f>Funcionarios!$E7</f>
        <v>0</v>
      </c>
      <c r="G7" s="5">
        <f t="shared" si="0"/>
        <v>902.21077322222231</v>
      </c>
      <c r="J7" t="s">
        <v>41</v>
      </c>
      <c r="K7" s="5">
        <f t="shared" si="1"/>
        <v>2447.8850790444444</v>
      </c>
      <c r="L7">
        <f t="shared" si="2"/>
        <v>5</v>
      </c>
    </row>
    <row r="8" spans="1:12" x14ac:dyDescent="0.25">
      <c r="A8" t="str">
        <f>Funcionarios!A8</f>
        <v>Aurinete maria de oliveira</v>
      </c>
      <c r="B8" t="str">
        <f>Funcionarios!B8</f>
        <v>cozinha</v>
      </c>
      <c r="C8" s="5">
        <f>(IF(AND(Funcionarios!D8&gt;=1,COUNTIF(Funcionarios!$D$2:$D$191,"&gt;=1")&gt;0),(Editavel!$B$17-SUM(Departamentos!$B:$B)-SUM(Funcionarios!$F$2:$F$191))*Editavel!$C$25/COUNTIF(Funcionarios!$D$2:$D$191,"&gt;=1"),0)+IF(AND(Funcionarios!D8&gt;=2,COUNTIF(Funcionarios!$D$2:$D$191,"&gt;=2")&gt;0),(Editavel!$B$17-SUM(Departamentos!$B:$B)-SUM(Funcionarios!$F$2:$F$191))*Editavel!$C$26/COUNTIF(Funcionarios!$D$2:$D$191,"&gt;=2"),0)+IF(AND(Funcionarios!D8&gt;=3,COUNTIF(Funcionarios!$D$2:$D$191,"&gt;=3")&gt;0),(Editavel!$B$17-SUM(Departamentos!$B:$B)-SUM(Funcionarios!$F$2:$F$191))*Editavel!$C$27/COUNTIF(Funcionarios!$D$2:$D$191,"&gt;=3"),0)+IF(AND(Funcionarios!D8&gt;=4,COUNTIF(Funcionarios!$D$2:$D$191,"&gt;=4")&gt;0),(Editavel!$B$17-SUM(Departamentos!$B:$B)-SUM(Funcionarios!$F$2:$F$191))*Editavel!$C$28/COUNTIF(Funcionarios!$D$2:$D$191,"&gt;=4"),0)+IF(AND(Funcionarios!D8&gt;=5,COUNTIF(Funcionarios!$D$2:$D$191,"&gt;=5")&gt;0),(Editavel!$B$17-SUM(Departamentos!$B:$B)-SUM(Funcionarios!$F$2:$F$191))*Editavel!$C$29/COUNTIF(Funcionarios!$D$2:$D$191,"&gt;=5"),0))*IF(Funcionarios!G8&gt;0,Funcionarios!G8/30,1)</f>
        <v>902.21077322222231</v>
      </c>
      <c r="D8" s="5">
        <f>IF(COUNTIF(Funcionarios!$B$2:$B$191,Funcionarios!B8)&gt;0,SUMIFS(Departamentos!$B:$B,Departamentos!$C:$C,Funcionarios!B8)/COUNTIF(Funcionarios!$B$2:$B$191,Funcionarios!B8)*IF(Funcionarios!G8&gt;0,Funcionarios!G8/30,1),0)</f>
        <v>0</v>
      </c>
      <c r="E8" s="5">
        <f>Funcionarios!$F8</f>
        <v>0</v>
      </c>
      <c r="F8" s="5">
        <f>Funcionarios!$E8</f>
        <v>0</v>
      </c>
      <c r="G8" s="5">
        <f t="shared" si="0"/>
        <v>902.21077322222231</v>
      </c>
      <c r="J8" t="s">
        <v>42</v>
      </c>
      <c r="K8" s="5">
        <f t="shared" si="1"/>
        <v>1610.3611159777779</v>
      </c>
      <c r="L8">
        <f t="shared" si="2"/>
        <v>2</v>
      </c>
    </row>
    <row r="9" spans="1:12" x14ac:dyDescent="0.25">
      <c r="A9" t="str">
        <f>Funcionarios!A9</f>
        <v>Bartolomeu Leandro René de Araujo</v>
      </c>
      <c r="B9" t="str">
        <f>Funcionarios!B9</f>
        <v>serviço</v>
      </c>
      <c r="C9" s="5">
        <f>(IF(AND(Funcionarios!D9&gt;=1,COUNTIF(Funcionarios!$D$2:$D$191,"&gt;=1")&gt;0),(Editavel!$B$17-SUM(Departamentos!$B:$B)-SUM(Funcionarios!$F$2:$F$191))*Editavel!$C$25/COUNTIF(Funcionarios!$D$2:$D$191,"&gt;=1"),0)+IF(AND(Funcionarios!D9&gt;=2,COUNTIF(Funcionarios!$D$2:$D$191,"&gt;=2")&gt;0),(Editavel!$B$17-SUM(Departamentos!$B:$B)-SUM(Funcionarios!$F$2:$F$191))*Editavel!$C$26/COUNTIF(Funcionarios!$D$2:$D$191,"&gt;=2"),0)+IF(AND(Funcionarios!D9&gt;=3,COUNTIF(Funcionarios!$D$2:$D$191,"&gt;=3")&gt;0),(Editavel!$B$17-SUM(Departamentos!$B:$B)-SUM(Funcionarios!$F$2:$F$191))*Editavel!$C$27/COUNTIF(Funcionarios!$D$2:$D$191,"&gt;=3"),0)+IF(AND(Funcionarios!D9&gt;=4,COUNTIF(Funcionarios!$D$2:$D$191,"&gt;=4")&gt;0),(Editavel!$B$17-SUM(Departamentos!$B:$B)-SUM(Funcionarios!$F$2:$F$191))*Editavel!$C$28/COUNTIF(Funcionarios!$D$2:$D$191,"&gt;=4"),0)+IF(AND(Funcionarios!D9&gt;=5,COUNTIF(Funcionarios!$D$2:$D$191,"&gt;=5")&gt;0),(Editavel!$B$17-SUM(Departamentos!$B:$B)-SUM(Funcionarios!$F$2:$F$191))*Editavel!$C$29/COUNTIF(Funcionarios!$D$2:$D$191,"&gt;=5"),0))*IF(Funcionarios!G9&gt;0,Funcionarios!G9/30,1)</f>
        <v>217.89241315555554</v>
      </c>
      <c r="D9" s="5">
        <f>IF(COUNTIF(Funcionarios!$B$2:$B$191,Funcionarios!B9)&gt;0,SUMIFS(Departamentos!$B:$B,Departamentos!$C:$C,Funcionarios!B9)/COUNTIF(Funcionarios!$B$2:$B$191,Funcionarios!B9)*IF(Funcionarios!G9&gt;0,Funcionarios!G9/30,1),0)</f>
        <v>0</v>
      </c>
      <c r="E9" s="5">
        <f>Funcionarios!$F9</f>
        <v>0</v>
      </c>
      <c r="F9" s="5">
        <f>Funcionarios!$E9</f>
        <v>0</v>
      </c>
      <c r="G9" s="5">
        <f t="shared" si="0"/>
        <v>217.89241315555554</v>
      </c>
    </row>
    <row r="10" spans="1:12" x14ac:dyDescent="0.25">
      <c r="A10" t="str">
        <f>Funcionarios!A10</f>
        <v>Bruno Ruanderson Mendes</v>
      </c>
      <c r="B10" t="str">
        <f>Funcionarios!B10</f>
        <v>recepção</v>
      </c>
      <c r="C10" s="5">
        <f>(IF(AND(Funcionarios!D10&gt;=1,COUNTIF(Funcionarios!$D$2:$D$191,"&gt;=1")&gt;0),(Editavel!$B$17-SUM(Departamentos!$B:$B)-SUM(Funcionarios!$F$2:$F$191))*Editavel!$C$25/COUNTIF(Funcionarios!$D$2:$D$191,"&gt;=1"),0)+IF(AND(Funcionarios!D10&gt;=2,COUNTIF(Funcionarios!$D$2:$D$191,"&gt;=2")&gt;0),(Editavel!$B$17-SUM(Departamentos!$B:$B)-SUM(Funcionarios!$F$2:$F$191))*Editavel!$C$26/COUNTIF(Funcionarios!$D$2:$D$191,"&gt;=2"),0)+IF(AND(Funcionarios!D10&gt;=3,COUNTIF(Funcionarios!$D$2:$D$191,"&gt;=3")&gt;0),(Editavel!$B$17-SUM(Departamentos!$B:$B)-SUM(Funcionarios!$F$2:$F$191))*Editavel!$C$27/COUNTIF(Funcionarios!$D$2:$D$191,"&gt;=3"),0)+IF(AND(Funcionarios!D10&gt;=4,COUNTIF(Funcionarios!$D$2:$D$191,"&gt;=4")&gt;0),(Editavel!$B$17-SUM(Departamentos!$B:$B)-SUM(Funcionarios!$F$2:$F$191))*Editavel!$C$28/COUNTIF(Funcionarios!$D$2:$D$191,"&gt;=4"),0)+IF(AND(Funcionarios!D10&gt;=5,COUNTIF(Funcionarios!$D$2:$D$191,"&gt;=5")&gt;0),(Editavel!$B$17-SUM(Departamentos!$B:$B)-SUM(Funcionarios!$F$2:$F$191))*Editavel!$C$29/COUNTIF(Funcionarios!$D$2:$D$191,"&gt;=5"),0))*IF(Funcionarios!G10&gt;0,Funcionarios!G10/30,1)</f>
        <v>554.94473975555559</v>
      </c>
      <c r="D10" s="5">
        <f>IF(COUNTIF(Funcionarios!$B$2:$B$191,Funcionarios!B10)&gt;0,SUMIFS(Departamentos!$B:$B,Departamentos!$C:$C,Funcionarios!B10)/COUNTIF(Funcionarios!$B$2:$B$191,Funcionarios!B10)*IF(Funcionarios!G10&gt;0,Funcionarios!G10/30,1),0)</f>
        <v>0</v>
      </c>
      <c r="E10" s="5">
        <f>Funcionarios!$F10</f>
        <v>0</v>
      </c>
      <c r="F10" s="5">
        <f>Funcionarios!$E10</f>
        <v>0</v>
      </c>
      <c r="G10" s="5">
        <f t="shared" si="0"/>
        <v>554.94473975555559</v>
      </c>
    </row>
    <row r="11" spans="1:12" x14ac:dyDescent="0.25">
      <c r="A11" t="str">
        <f>Funcionarios!A11</f>
        <v>Carlos Eduardo Carneiro da Silva</v>
      </c>
      <c r="B11" t="str">
        <f>Funcionarios!B11</f>
        <v>controle de perdas</v>
      </c>
      <c r="C11" s="5">
        <f>(IF(AND(Funcionarios!D11&gt;=1,COUNTIF(Funcionarios!$D$2:$D$191,"&gt;=1")&gt;0),(Editavel!$B$17-SUM(Departamentos!$B:$B)-SUM(Funcionarios!$F$2:$F$191))*Editavel!$C$25/COUNTIF(Funcionarios!$D$2:$D$191,"&gt;=1"),0)+IF(AND(Funcionarios!D11&gt;=2,COUNTIF(Funcionarios!$D$2:$D$191,"&gt;=2")&gt;0),(Editavel!$B$17-SUM(Departamentos!$B:$B)-SUM(Funcionarios!$F$2:$F$191))*Editavel!$C$26/COUNTIF(Funcionarios!$D$2:$D$191,"&gt;=2"),0)+IF(AND(Funcionarios!D11&gt;=3,COUNTIF(Funcionarios!$D$2:$D$191,"&gt;=3")&gt;0),(Editavel!$B$17-SUM(Departamentos!$B:$B)-SUM(Funcionarios!$F$2:$F$191))*Editavel!$C$27/COUNTIF(Funcionarios!$D$2:$D$191,"&gt;=3"),0)+IF(AND(Funcionarios!D11&gt;=4,COUNTIF(Funcionarios!$D$2:$D$191,"&gt;=4")&gt;0),(Editavel!$B$17-SUM(Departamentos!$B:$B)-SUM(Funcionarios!$F$2:$F$191))*Editavel!$C$28/COUNTIF(Funcionarios!$D$2:$D$191,"&gt;=4"),0)+IF(AND(Funcionarios!D11&gt;=5,COUNTIF(Funcionarios!$D$2:$D$191,"&gt;=5")&gt;0),(Editavel!$B$17-SUM(Departamentos!$B:$B)-SUM(Funcionarios!$F$2:$F$191))*Editavel!$C$29/COUNTIF(Funcionarios!$D$2:$D$191,"&gt;=5"),0))*IF(Funcionarios!G11&gt;0,Funcionarios!G11/30,1)</f>
        <v>1392.4687028222224</v>
      </c>
      <c r="D11" s="5">
        <f>IF(COUNTIF(Funcionarios!$B$2:$B$191,Funcionarios!B11)&gt;0,SUMIFS(Departamentos!$B:$B,Departamentos!$C:$C,Funcionarios!B11)/COUNTIF(Funcionarios!$B$2:$B$191,Funcionarios!B11)*IF(Funcionarios!G11&gt;0,Funcionarios!G11/30,1),0)</f>
        <v>0</v>
      </c>
      <c r="E11" s="5">
        <f>Funcionarios!$F11</f>
        <v>0</v>
      </c>
      <c r="F11" s="5">
        <f>Funcionarios!$E11</f>
        <v>0</v>
      </c>
      <c r="G11" s="5">
        <f t="shared" si="0"/>
        <v>1392.4687028222224</v>
      </c>
    </row>
    <row r="12" spans="1:12" x14ac:dyDescent="0.25">
      <c r="A12" t="str">
        <f>Funcionarios!A12</f>
        <v>Cicera maria da Silva</v>
      </c>
      <c r="B12" t="str">
        <f>Funcionarios!B12</f>
        <v>cozinha</v>
      </c>
      <c r="C12" s="5">
        <f>(IF(AND(Funcionarios!D12&gt;=1,COUNTIF(Funcionarios!$D$2:$D$191,"&gt;=1")&gt;0),(Editavel!$B$17-SUM(Departamentos!$B:$B)-SUM(Funcionarios!$F$2:$F$191))*Editavel!$C$25/COUNTIF(Funcionarios!$D$2:$D$191,"&gt;=1"),0)+IF(AND(Funcionarios!D12&gt;=2,COUNTIF(Funcionarios!$D$2:$D$191,"&gt;=2")&gt;0),(Editavel!$B$17-SUM(Departamentos!$B:$B)-SUM(Funcionarios!$F$2:$F$191))*Editavel!$C$26/COUNTIF(Funcionarios!$D$2:$D$191,"&gt;=2"),0)+IF(AND(Funcionarios!D12&gt;=3,COUNTIF(Funcionarios!$D$2:$D$191,"&gt;=3")&gt;0),(Editavel!$B$17-SUM(Departamentos!$B:$B)-SUM(Funcionarios!$F$2:$F$191))*Editavel!$C$27/COUNTIF(Funcionarios!$D$2:$D$191,"&gt;=3"),0)+IF(AND(Funcionarios!D12&gt;=4,COUNTIF(Funcionarios!$D$2:$D$191,"&gt;=4")&gt;0),(Editavel!$B$17-SUM(Departamentos!$B:$B)-SUM(Funcionarios!$F$2:$F$191))*Editavel!$C$28/COUNTIF(Funcionarios!$D$2:$D$191,"&gt;=4"),0)+IF(AND(Funcionarios!D12&gt;=5,COUNTIF(Funcionarios!$D$2:$D$191,"&gt;=5")&gt;0),(Editavel!$B$17-SUM(Departamentos!$B:$B)-SUM(Funcionarios!$F$2:$F$191))*Editavel!$C$29/COUNTIF(Funcionarios!$D$2:$D$191,"&gt;=5"),0))*IF(Funcionarios!G12&gt;0,Funcionarios!G12/30,1)</f>
        <v>1392.4687028222224</v>
      </c>
      <c r="D12" s="5">
        <f>IF(COUNTIF(Funcionarios!$B$2:$B$191,Funcionarios!B12)&gt;0,SUMIFS(Departamentos!$B:$B,Departamentos!$C:$C,Funcionarios!B12)/COUNTIF(Funcionarios!$B$2:$B$191,Funcionarios!B12)*IF(Funcionarios!G12&gt;0,Funcionarios!G12/30,1),0)</f>
        <v>0</v>
      </c>
      <c r="E12" s="5">
        <f>Funcionarios!$F12</f>
        <v>0</v>
      </c>
      <c r="F12" s="5">
        <f>Funcionarios!$E12</f>
        <v>0</v>
      </c>
      <c r="G12" s="5">
        <f t="shared" si="0"/>
        <v>1392.4687028222224</v>
      </c>
    </row>
    <row r="13" spans="1:12" x14ac:dyDescent="0.25">
      <c r="A13" t="str">
        <f>Funcionarios!A13</f>
        <v>Cintia Raquel Da Silva</v>
      </c>
      <c r="B13" t="str">
        <f>Funcionarios!B13</f>
        <v>cozinha</v>
      </c>
      <c r="C13" s="5">
        <f>(IF(AND(Funcionarios!D13&gt;=1,COUNTIF(Funcionarios!$D$2:$D$191,"&gt;=1")&gt;0),(Editavel!$B$17-SUM(Departamentos!$B:$B)-SUM(Funcionarios!$F$2:$F$191))*Editavel!$C$25/COUNTIF(Funcionarios!$D$2:$D$191,"&gt;=1"),0)+IF(AND(Funcionarios!D13&gt;=2,COUNTIF(Funcionarios!$D$2:$D$191,"&gt;=2")&gt;0),(Editavel!$B$17-SUM(Departamentos!$B:$B)-SUM(Funcionarios!$F$2:$F$191))*Editavel!$C$26/COUNTIF(Funcionarios!$D$2:$D$191,"&gt;=2"),0)+IF(AND(Funcionarios!D13&gt;=3,COUNTIF(Funcionarios!$D$2:$D$191,"&gt;=3")&gt;0),(Editavel!$B$17-SUM(Departamentos!$B:$B)-SUM(Funcionarios!$F$2:$F$191))*Editavel!$C$27/COUNTIF(Funcionarios!$D$2:$D$191,"&gt;=3"),0)+IF(AND(Funcionarios!D13&gt;=4,COUNTIF(Funcionarios!$D$2:$D$191,"&gt;=4")&gt;0),(Editavel!$B$17-SUM(Departamentos!$B:$B)-SUM(Funcionarios!$F$2:$F$191))*Editavel!$C$28/COUNTIF(Funcionarios!$D$2:$D$191,"&gt;=4"),0)+IF(AND(Funcionarios!D13&gt;=5,COUNTIF(Funcionarios!$D$2:$D$191,"&gt;=5")&gt;0),(Editavel!$B$17-SUM(Departamentos!$B:$B)-SUM(Funcionarios!$F$2:$F$191))*Editavel!$C$29/COUNTIF(Funcionarios!$D$2:$D$191,"&gt;=5"),0))*IF(Funcionarios!G13&gt;0,Funcionarios!G13/30,1)</f>
        <v>902.21077322222231</v>
      </c>
      <c r="D13" s="5">
        <f>IF(COUNTIF(Funcionarios!$B$2:$B$191,Funcionarios!B13)&gt;0,SUMIFS(Departamentos!$B:$B,Departamentos!$C:$C,Funcionarios!B13)/COUNTIF(Funcionarios!$B$2:$B$191,Funcionarios!B13)*IF(Funcionarios!G13&gt;0,Funcionarios!G13/30,1),0)</f>
        <v>0</v>
      </c>
      <c r="E13" s="5">
        <f>Funcionarios!$F13</f>
        <v>0</v>
      </c>
      <c r="F13" s="5">
        <f>Funcionarios!$E13</f>
        <v>0</v>
      </c>
      <c r="G13" s="5">
        <f t="shared" si="0"/>
        <v>902.21077322222231</v>
      </c>
    </row>
    <row r="14" spans="1:12" x14ac:dyDescent="0.25">
      <c r="A14" t="str">
        <f>Funcionarios!A14</f>
        <v xml:space="preserve">Clebio Alves de Moura </v>
      </c>
      <c r="B14" t="str">
        <f>Funcionarios!B14</f>
        <v>serviço</v>
      </c>
      <c r="C14" s="5">
        <f>(IF(AND(Funcionarios!D14&gt;=1,COUNTIF(Funcionarios!$D$2:$D$191,"&gt;=1")&gt;0),(Editavel!$B$17-SUM(Departamentos!$B:$B)-SUM(Funcionarios!$F$2:$F$191))*Editavel!$C$25/COUNTIF(Funcionarios!$D$2:$D$191,"&gt;=1"),0)+IF(AND(Funcionarios!D14&gt;=2,COUNTIF(Funcionarios!$D$2:$D$191,"&gt;=2")&gt;0),(Editavel!$B$17-SUM(Departamentos!$B:$B)-SUM(Funcionarios!$F$2:$F$191))*Editavel!$C$26/COUNTIF(Funcionarios!$D$2:$D$191,"&gt;=2"),0)+IF(AND(Funcionarios!D14&gt;=3,COUNTIF(Funcionarios!$D$2:$D$191,"&gt;=3")&gt;0),(Editavel!$B$17-SUM(Departamentos!$B:$B)-SUM(Funcionarios!$F$2:$F$191))*Editavel!$C$27/COUNTIF(Funcionarios!$D$2:$D$191,"&gt;=3"),0)+IF(AND(Funcionarios!D14&gt;=4,COUNTIF(Funcionarios!$D$2:$D$191,"&gt;=4")&gt;0),(Editavel!$B$17-SUM(Departamentos!$B:$B)-SUM(Funcionarios!$F$2:$F$191))*Editavel!$C$28/COUNTIF(Funcionarios!$D$2:$D$191,"&gt;=4"),0)+IF(AND(Funcionarios!D14&gt;=5,COUNTIF(Funcionarios!$D$2:$D$191,"&gt;=5")&gt;0),(Editavel!$B$17-SUM(Departamentos!$B:$B)-SUM(Funcionarios!$F$2:$F$191))*Editavel!$C$29/COUNTIF(Funcionarios!$D$2:$D$191,"&gt;=5"),0))*IF(Funcionarios!G14&gt;0,Funcionarios!G14/30,1)</f>
        <v>217.89241315555554</v>
      </c>
      <c r="D14" s="5">
        <f>IF(COUNTIF(Funcionarios!$B$2:$B$191,Funcionarios!B14)&gt;0,SUMIFS(Departamentos!$B:$B,Departamentos!$C:$C,Funcionarios!B14)/COUNTIF(Funcionarios!$B$2:$B$191,Funcionarios!B14)*IF(Funcionarios!G14&gt;0,Funcionarios!G14/30,1),0)</f>
        <v>0</v>
      </c>
      <c r="E14" s="5">
        <f>Funcionarios!$F14</f>
        <v>0</v>
      </c>
      <c r="F14" s="5">
        <f>Funcionarios!$E14</f>
        <v>0</v>
      </c>
      <c r="G14" s="5">
        <f t="shared" si="0"/>
        <v>217.89241315555554</v>
      </c>
    </row>
    <row r="15" spans="1:12" x14ac:dyDescent="0.25">
      <c r="A15" t="str">
        <f>Funcionarios!A15</f>
        <v>Daniel Luiz De Lima</v>
      </c>
      <c r="B15" t="str">
        <f>Funcionarios!B15</f>
        <v>manutenção</v>
      </c>
      <c r="C15" s="5">
        <f>(IF(AND(Funcionarios!D15&gt;=1,COUNTIF(Funcionarios!$D$2:$D$191,"&gt;=1")&gt;0),(Editavel!$B$17-SUM(Departamentos!$B:$B)-SUM(Funcionarios!$F$2:$F$191))*Editavel!$C$25/COUNTIF(Funcionarios!$D$2:$D$191,"&gt;=1"),0)+IF(AND(Funcionarios!D15&gt;=2,COUNTIF(Funcionarios!$D$2:$D$191,"&gt;=2")&gt;0),(Editavel!$B$17-SUM(Departamentos!$B:$B)-SUM(Funcionarios!$F$2:$F$191))*Editavel!$C$26/COUNTIF(Funcionarios!$D$2:$D$191,"&gt;=2"),0)+IF(AND(Funcionarios!D15&gt;=3,COUNTIF(Funcionarios!$D$2:$D$191,"&gt;=3")&gt;0),(Editavel!$B$17-SUM(Departamentos!$B:$B)-SUM(Funcionarios!$F$2:$F$191))*Editavel!$C$27/COUNTIF(Funcionarios!$D$2:$D$191,"&gt;=3"),0)+IF(AND(Funcionarios!D15&gt;=4,COUNTIF(Funcionarios!$D$2:$D$191,"&gt;=4")&gt;0),(Editavel!$B$17-SUM(Departamentos!$B:$B)-SUM(Funcionarios!$F$2:$F$191))*Editavel!$C$28/COUNTIF(Funcionarios!$D$2:$D$191,"&gt;=4"),0)+IF(AND(Funcionarios!D15&gt;=5,COUNTIF(Funcionarios!$D$2:$D$191,"&gt;=5")&gt;0),(Editavel!$B$17-SUM(Departamentos!$B:$B)-SUM(Funcionarios!$F$2:$F$191))*Editavel!$C$29/COUNTIF(Funcionarios!$D$2:$D$191,"&gt;=5"),0))*IF(Funcionarios!G15&gt;0,Funcionarios!G15/30,1)</f>
        <v>217.89241315555554</v>
      </c>
      <c r="D15" s="5">
        <f>IF(COUNTIF(Funcionarios!$B$2:$B$191,Funcionarios!B15)&gt;0,SUMIFS(Departamentos!$B:$B,Departamentos!$C:$C,Funcionarios!B15)/COUNTIF(Funcionarios!$B$2:$B$191,Funcionarios!B15)*IF(Funcionarios!G15&gt;0,Funcionarios!G15/30,1),0)</f>
        <v>0</v>
      </c>
      <c r="E15" s="5">
        <f>Funcionarios!$F15</f>
        <v>0</v>
      </c>
      <c r="F15" s="5">
        <f>Funcionarios!$E15</f>
        <v>0</v>
      </c>
      <c r="G15" s="5">
        <f t="shared" si="0"/>
        <v>217.89241315555554</v>
      </c>
    </row>
    <row r="16" spans="1:12" x14ac:dyDescent="0.25">
      <c r="A16" t="str">
        <f>Funcionarios!A16</f>
        <v>Danilo Cesar Silva Lima</v>
      </c>
      <c r="B16" t="str">
        <f>Funcionarios!B16</f>
        <v>serviço</v>
      </c>
      <c r="C16" s="5">
        <f>(IF(AND(Funcionarios!D16&gt;=1,COUNTIF(Funcionarios!$D$2:$D$191,"&gt;=1")&gt;0),(Editavel!$B$17-SUM(Departamentos!$B:$B)-SUM(Funcionarios!$F$2:$F$191))*Editavel!$C$25/COUNTIF(Funcionarios!$D$2:$D$191,"&gt;=1"),0)+IF(AND(Funcionarios!D16&gt;=2,COUNTIF(Funcionarios!$D$2:$D$191,"&gt;=2")&gt;0),(Editavel!$B$17-SUM(Departamentos!$B:$B)-SUM(Funcionarios!$F$2:$F$191))*Editavel!$C$26/COUNTIF(Funcionarios!$D$2:$D$191,"&gt;=2"),0)+IF(AND(Funcionarios!D16&gt;=3,COUNTIF(Funcionarios!$D$2:$D$191,"&gt;=3")&gt;0),(Editavel!$B$17-SUM(Departamentos!$B:$B)-SUM(Funcionarios!$F$2:$F$191))*Editavel!$C$27/COUNTIF(Funcionarios!$D$2:$D$191,"&gt;=3"),0)+IF(AND(Funcionarios!D16&gt;=4,COUNTIF(Funcionarios!$D$2:$D$191,"&gt;=4")&gt;0),(Editavel!$B$17-SUM(Departamentos!$B:$B)-SUM(Funcionarios!$F$2:$F$191))*Editavel!$C$28/COUNTIF(Funcionarios!$D$2:$D$191,"&gt;=4"),0)+IF(AND(Funcionarios!D16&gt;=5,COUNTIF(Funcionarios!$D$2:$D$191,"&gt;=5")&gt;0),(Editavel!$B$17-SUM(Departamentos!$B:$B)-SUM(Funcionarios!$F$2:$F$191))*Editavel!$C$29/COUNTIF(Funcionarios!$D$2:$D$191,"&gt;=5"),0))*IF(Funcionarios!G16&gt;0,Funcionarios!G16/30,1)</f>
        <v>554.94473975555559</v>
      </c>
      <c r="D16" s="5">
        <f>IF(COUNTIF(Funcionarios!$B$2:$B$191,Funcionarios!B16)&gt;0,SUMIFS(Departamentos!$B:$B,Departamentos!$C:$C,Funcionarios!B16)/COUNTIF(Funcionarios!$B$2:$B$191,Funcionarios!B16)*IF(Funcionarios!G16&gt;0,Funcionarios!G16/30,1),0)</f>
        <v>0</v>
      </c>
      <c r="E16" s="5">
        <f>Funcionarios!$F16</f>
        <v>0</v>
      </c>
      <c r="F16" s="5">
        <f>Funcionarios!$E16</f>
        <v>0</v>
      </c>
      <c r="G16" s="5">
        <f t="shared" si="0"/>
        <v>554.94473975555559</v>
      </c>
    </row>
    <row r="17" spans="1:7" x14ac:dyDescent="0.25">
      <c r="A17" t="str">
        <f>Funcionarios!A17</f>
        <v>Dina Priscila dos Santos Nunes</v>
      </c>
      <c r="B17" t="str">
        <f>Funcionarios!B17</f>
        <v>governança</v>
      </c>
      <c r="C17" s="5">
        <f>(IF(AND(Funcionarios!D17&gt;=1,COUNTIF(Funcionarios!$D$2:$D$191,"&gt;=1")&gt;0),(Editavel!$B$17-SUM(Departamentos!$B:$B)-SUM(Funcionarios!$F$2:$F$191))*Editavel!$C$25/COUNTIF(Funcionarios!$D$2:$D$191,"&gt;=1"),0)+IF(AND(Funcionarios!D17&gt;=2,COUNTIF(Funcionarios!$D$2:$D$191,"&gt;=2")&gt;0),(Editavel!$B$17-SUM(Departamentos!$B:$B)-SUM(Funcionarios!$F$2:$F$191))*Editavel!$C$26/COUNTIF(Funcionarios!$D$2:$D$191,"&gt;=2"),0)+IF(AND(Funcionarios!D17&gt;=3,COUNTIF(Funcionarios!$D$2:$D$191,"&gt;=3")&gt;0),(Editavel!$B$17-SUM(Departamentos!$B:$B)-SUM(Funcionarios!$F$2:$F$191))*Editavel!$C$27/COUNTIF(Funcionarios!$D$2:$D$191,"&gt;=3"),0)+IF(AND(Funcionarios!D17&gt;=4,COUNTIF(Funcionarios!$D$2:$D$191,"&gt;=4")&gt;0),(Editavel!$B$17-SUM(Departamentos!$B:$B)-SUM(Funcionarios!$F$2:$F$191))*Editavel!$C$28/COUNTIF(Funcionarios!$D$2:$D$191,"&gt;=4"),0)+IF(AND(Funcionarios!D17&gt;=5,COUNTIF(Funcionarios!$D$2:$D$191,"&gt;=5")&gt;0),(Editavel!$B$17-SUM(Departamentos!$B:$B)-SUM(Funcionarios!$F$2:$F$191))*Editavel!$C$29/COUNTIF(Funcionarios!$D$2:$D$191,"&gt;=5"),0))*IF(Funcionarios!G17&gt;0,Funcionarios!G17/30,1)</f>
        <v>554.94473975555559</v>
      </c>
      <c r="D17" s="5">
        <f>IF(COUNTIF(Funcionarios!$B$2:$B$191,Funcionarios!B17)&gt;0,SUMIFS(Departamentos!$B:$B,Departamentos!$C:$C,Funcionarios!B17)/COUNTIF(Funcionarios!$B$2:$B$191,Funcionarios!B17)*IF(Funcionarios!G17&gt;0,Funcionarios!G17/30,1),0)</f>
        <v>0</v>
      </c>
      <c r="E17" s="5">
        <f>Funcionarios!$F17</f>
        <v>0</v>
      </c>
      <c r="F17" s="5">
        <f>Funcionarios!$E17</f>
        <v>0</v>
      </c>
      <c r="G17" s="5">
        <f t="shared" si="0"/>
        <v>554.94473975555559</v>
      </c>
    </row>
    <row r="18" spans="1:7" x14ac:dyDescent="0.25">
      <c r="A18" t="str">
        <f>Funcionarios!A18</f>
        <v>Elenilda Dos Santos Da Silva</v>
      </c>
      <c r="B18" t="str">
        <f>Funcionarios!B18</f>
        <v>cozinha</v>
      </c>
      <c r="C18" s="5">
        <f>(IF(AND(Funcionarios!D18&gt;=1,COUNTIF(Funcionarios!$D$2:$D$191,"&gt;=1")&gt;0),(Editavel!$B$17-SUM(Departamentos!$B:$B)-SUM(Funcionarios!$F$2:$F$191))*Editavel!$C$25/COUNTIF(Funcionarios!$D$2:$D$191,"&gt;=1"),0)+IF(AND(Funcionarios!D18&gt;=2,COUNTIF(Funcionarios!$D$2:$D$191,"&gt;=2")&gt;0),(Editavel!$B$17-SUM(Departamentos!$B:$B)-SUM(Funcionarios!$F$2:$F$191))*Editavel!$C$26/COUNTIF(Funcionarios!$D$2:$D$191,"&gt;=2"),0)+IF(AND(Funcionarios!D18&gt;=3,COUNTIF(Funcionarios!$D$2:$D$191,"&gt;=3")&gt;0),(Editavel!$B$17-SUM(Departamentos!$B:$B)-SUM(Funcionarios!$F$2:$F$191))*Editavel!$C$27/COUNTIF(Funcionarios!$D$2:$D$191,"&gt;=3"),0)+IF(AND(Funcionarios!D18&gt;=4,COUNTIF(Funcionarios!$D$2:$D$191,"&gt;=4")&gt;0),(Editavel!$B$17-SUM(Departamentos!$B:$B)-SUM(Funcionarios!$F$2:$F$191))*Editavel!$C$28/COUNTIF(Funcionarios!$D$2:$D$191,"&gt;=4"),0)+IF(AND(Funcionarios!D18&gt;=5,COUNTIF(Funcionarios!$D$2:$D$191,"&gt;=5")&gt;0),(Editavel!$B$17-SUM(Departamentos!$B:$B)-SUM(Funcionarios!$F$2:$F$191))*Editavel!$C$29/COUNTIF(Funcionarios!$D$2:$D$191,"&gt;=5"),0))*IF(Funcionarios!G18&gt;0,Funcionarios!G18/30,1)</f>
        <v>217.89241315555554</v>
      </c>
      <c r="D18" s="5">
        <f>IF(COUNTIF(Funcionarios!$B$2:$B$191,Funcionarios!B18)&gt;0,SUMIFS(Departamentos!$B:$B,Departamentos!$C:$C,Funcionarios!B18)/COUNTIF(Funcionarios!$B$2:$B$191,Funcionarios!B18)*IF(Funcionarios!G18&gt;0,Funcionarios!G18/30,1),0)</f>
        <v>0</v>
      </c>
      <c r="E18" s="5">
        <f>Funcionarios!$F18</f>
        <v>0</v>
      </c>
      <c r="F18" s="5">
        <f>Funcionarios!$E18</f>
        <v>0</v>
      </c>
      <c r="G18" s="5">
        <f t="shared" si="0"/>
        <v>217.89241315555554</v>
      </c>
    </row>
    <row r="19" spans="1:7" x14ac:dyDescent="0.25">
      <c r="A19" t="str">
        <f>Funcionarios!A19</f>
        <v>Eliete Maria Dos Santos Da Silva</v>
      </c>
      <c r="B19" t="str">
        <f>Funcionarios!B19</f>
        <v>cozinha</v>
      </c>
      <c r="C19" s="5">
        <f>(IF(AND(Funcionarios!D19&gt;=1,COUNTIF(Funcionarios!$D$2:$D$191,"&gt;=1")&gt;0),(Editavel!$B$17-SUM(Departamentos!$B:$B)-SUM(Funcionarios!$F$2:$F$191))*Editavel!$C$25/COUNTIF(Funcionarios!$D$2:$D$191,"&gt;=1"),0)+IF(AND(Funcionarios!D19&gt;=2,COUNTIF(Funcionarios!$D$2:$D$191,"&gt;=2")&gt;0),(Editavel!$B$17-SUM(Departamentos!$B:$B)-SUM(Funcionarios!$F$2:$F$191))*Editavel!$C$26/COUNTIF(Funcionarios!$D$2:$D$191,"&gt;=2"),0)+IF(AND(Funcionarios!D19&gt;=3,COUNTIF(Funcionarios!$D$2:$D$191,"&gt;=3")&gt;0),(Editavel!$B$17-SUM(Departamentos!$B:$B)-SUM(Funcionarios!$F$2:$F$191))*Editavel!$C$27/COUNTIF(Funcionarios!$D$2:$D$191,"&gt;=3"),0)+IF(AND(Funcionarios!D19&gt;=4,COUNTIF(Funcionarios!$D$2:$D$191,"&gt;=4")&gt;0),(Editavel!$B$17-SUM(Departamentos!$B:$B)-SUM(Funcionarios!$F$2:$F$191))*Editavel!$C$28/COUNTIF(Funcionarios!$D$2:$D$191,"&gt;=4"),0)+IF(AND(Funcionarios!D19&gt;=5,COUNTIF(Funcionarios!$D$2:$D$191,"&gt;=5")&gt;0),(Editavel!$B$17-SUM(Departamentos!$B:$B)-SUM(Funcionarios!$F$2:$F$191))*Editavel!$C$29/COUNTIF(Funcionarios!$D$2:$D$191,"&gt;=5"),0))*IF(Funcionarios!G19&gt;0,Funcionarios!G19/30,1)</f>
        <v>116.20928701629629</v>
      </c>
      <c r="D19" s="5">
        <f>IF(COUNTIF(Funcionarios!$B$2:$B$191,Funcionarios!B19)&gt;0,SUMIFS(Departamentos!$B:$B,Departamentos!$C:$C,Funcionarios!B19)/COUNTIF(Funcionarios!$B$2:$B$191,Funcionarios!B19)*IF(Funcionarios!G19&gt;0,Funcionarios!G19/30,1),0)</f>
        <v>0</v>
      </c>
      <c r="E19" s="5">
        <f>Funcionarios!$F19</f>
        <v>0</v>
      </c>
      <c r="F19" s="5">
        <f>Funcionarios!$E19</f>
        <v>0</v>
      </c>
      <c r="G19" s="5">
        <f t="shared" si="0"/>
        <v>116.20928701629629</v>
      </c>
    </row>
    <row r="20" spans="1:7" x14ac:dyDescent="0.25">
      <c r="A20" t="str">
        <f>Funcionarios!A20</f>
        <v>Erick Manoel Santos Do Nascimento</v>
      </c>
      <c r="B20" t="str">
        <f>Funcionarios!B20</f>
        <v>serviço</v>
      </c>
      <c r="C20" s="5">
        <f>(IF(AND(Funcionarios!D20&gt;=1,COUNTIF(Funcionarios!$D$2:$D$191,"&gt;=1")&gt;0),(Editavel!$B$17-SUM(Departamentos!$B:$B)-SUM(Funcionarios!$F$2:$F$191))*Editavel!$C$25/COUNTIF(Funcionarios!$D$2:$D$191,"&gt;=1"),0)+IF(AND(Funcionarios!D20&gt;=2,COUNTIF(Funcionarios!$D$2:$D$191,"&gt;=2")&gt;0),(Editavel!$B$17-SUM(Departamentos!$B:$B)-SUM(Funcionarios!$F$2:$F$191))*Editavel!$C$26/COUNTIF(Funcionarios!$D$2:$D$191,"&gt;=2"),0)+IF(AND(Funcionarios!D20&gt;=3,COUNTIF(Funcionarios!$D$2:$D$191,"&gt;=3")&gt;0),(Editavel!$B$17-SUM(Departamentos!$B:$B)-SUM(Funcionarios!$F$2:$F$191))*Editavel!$C$27/COUNTIF(Funcionarios!$D$2:$D$191,"&gt;=3"),0)+IF(AND(Funcionarios!D20&gt;=4,COUNTIF(Funcionarios!$D$2:$D$191,"&gt;=4")&gt;0),(Editavel!$B$17-SUM(Departamentos!$B:$B)-SUM(Funcionarios!$F$2:$F$191))*Editavel!$C$28/COUNTIF(Funcionarios!$D$2:$D$191,"&gt;=4"),0)+IF(AND(Funcionarios!D20&gt;=5,COUNTIF(Funcionarios!$D$2:$D$191,"&gt;=5")&gt;0),(Editavel!$B$17-SUM(Departamentos!$B:$B)-SUM(Funcionarios!$F$2:$F$191))*Editavel!$C$29/COUNTIF(Funcionarios!$D$2:$D$191,"&gt;=5"),0))*IF(Funcionarios!G20&gt;0,Funcionarios!G20/30,1)</f>
        <v>72.630804385185172</v>
      </c>
      <c r="D20" s="5">
        <f>IF(COUNTIF(Funcionarios!$B$2:$B$191,Funcionarios!B20)&gt;0,SUMIFS(Departamentos!$B:$B,Departamentos!$C:$C,Funcionarios!B20)/COUNTIF(Funcionarios!$B$2:$B$191,Funcionarios!B20)*IF(Funcionarios!G20&gt;0,Funcionarios!G20/30,1),0)</f>
        <v>0</v>
      </c>
      <c r="E20" s="5">
        <f>Funcionarios!$F20</f>
        <v>0</v>
      </c>
      <c r="F20" s="5">
        <f>Funcionarios!$E20</f>
        <v>0</v>
      </c>
      <c r="G20" s="5">
        <f t="shared" si="0"/>
        <v>72.630804385185172</v>
      </c>
    </row>
    <row r="21" spans="1:7" x14ac:dyDescent="0.25">
      <c r="A21" t="str">
        <f>Funcionarios!A21</f>
        <v>Erique Neves Cavalcanti</v>
      </c>
      <c r="B21" t="str">
        <f>Funcionarios!B21</f>
        <v>serviço</v>
      </c>
      <c r="C21" s="5">
        <f>(IF(AND(Funcionarios!D21&gt;=1,COUNTIF(Funcionarios!$D$2:$D$191,"&gt;=1")&gt;0),(Editavel!$B$17-SUM(Departamentos!$B:$B)-SUM(Funcionarios!$F$2:$F$191))*Editavel!$C$25/COUNTIF(Funcionarios!$D$2:$D$191,"&gt;=1"),0)+IF(AND(Funcionarios!D21&gt;=2,COUNTIF(Funcionarios!$D$2:$D$191,"&gt;=2")&gt;0),(Editavel!$B$17-SUM(Departamentos!$B:$B)-SUM(Funcionarios!$F$2:$F$191))*Editavel!$C$26/COUNTIF(Funcionarios!$D$2:$D$191,"&gt;=2"),0)+IF(AND(Funcionarios!D21&gt;=3,COUNTIF(Funcionarios!$D$2:$D$191,"&gt;=3")&gt;0),(Editavel!$B$17-SUM(Departamentos!$B:$B)-SUM(Funcionarios!$F$2:$F$191))*Editavel!$C$27/COUNTIF(Funcionarios!$D$2:$D$191,"&gt;=3"),0)+IF(AND(Funcionarios!D21&gt;=4,COUNTIF(Funcionarios!$D$2:$D$191,"&gt;=4")&gt;0),(Editavel!$B$17-SUM(Departamentos!$B:$B)-SUM(Funcionarios!$F$2:$F$191))*Editavel!$C$28/COUNTIF(Funcionarios!$D$2:$D$191,"&gt;=4"),0)+IF(AND(Funcionarios!D21&gt;=5,COUNTIF(Funcionarios!$D$2:$D$191,"&gt;=5")&gt;0),(Editavel!$B$17-SUM(Departamentos!$B:$B)-SUM(Funcionarios!$F$2:$F$191))*Editavel!$C$29/COUNTIF(Funcionarios!$D$2:$D$191,"&gt;=5"),0))*IF(Funcionarios!G21&gt;0,Funcionarios!G21/30,1)</f>
        <v>217.89241315555554</v>
      </c>
      <c r="D21" s="5">
        <f>IF(COUNTIF(Funcionarios!$B$2:$B$191,Funcionarios!B21)&gt;0,SUMIFS(Departamentos!$B:$B,Departamentos!$C:$C,Funcionarios!B21)/COUNTIF(Funcionarios!$B$2:$B$191,Funcionarios!B21)*IF(Funcionarios!G21&gt;0,Funcionarios!G21/30,1),0)</f>
        <v>0</v>
      </c>
      <c r="E21" s="5">
        <f>Funcionarios!$F21</f>
        <v>0</v>
      </c>
      <c r="F21" s="5">
        <f>Funcionarios!$E21</f>
        <v>0</v>
      </c>
      <c r="G21" s="5">
        <f t="shared" si="0"/>
        <v>217.89241315555554</v>
      </c>
    </row>
    <row r="22" spans="1:7" x14ac:dyDescent="0.25">
      <c r="A22" t="str">
        <f>Funcionarios!A22</f>
        <v>Filipe da silva assis</v>
      </c>
      <c r="B22" t="str">
        <f>Funcionarios!B22</f>
        <v>serviço</v>
      </c>
      <c r="C22" s="5">
        <f>(IF(AND(Funcionarios!D22&gt;=1,COUNTIF(Funcionarios!$D$2:$D$191,"&gt;=1")&gt;0),(Editavel!$B$17-SUM(Departamentos!$B:$B)-SUM(Funcionarios!$F$2:$F$191))*Editavel!$C$25/COUNTIF(Funcionarios!$D$2:$D$191,"&gt;=1"),0)+IF(AND(Funcionarios!D22&gt;=2,COUNTIF(Funcionarios!$D$2:$D$191,"&gt;=2")&gt;0),(Editavel!$B$17-SUM(Departamentos!$B:$B)-SUM(Funcionarios!$F$2:$F$191))*Editavel!$C$26/COUNTIF(Funcionarios!$D$2:$D$191,"&gt;=2"),0)+IF(AND(Funcionarios!D22&gt;=3,COUNTIF(Funcionarios!$D$2:$D$191,"&gt;=3")&gt;0),(Editavel!$B$17-SUM(Departamentos!$B:$B)-SUM(Funcionarios!$F$2:$F$191))*Editavel!$C$27/COUNTIF(Funcionarios!$D$2:$D$191,"&gt;=3"),0)+IF(AND(Funcionarios!D22&gt;=4,COUNTIF(Funcionarios!$D$2:$D$191,"&gt;=4")&gt;0),(Editavel!$B$17-SUM(Departamentos!$B:$B)-SUM(Funcionarios!$F$2:$F$191))*Editavel!$C$28/COUNTIF(Funcionarios!$D$2:$D$191,"&gt;=4"),0)+IF(AND(Funcionarios!D22&gt;=5,COUNTIF(Funcionarios!$D$2:$D$191,"&gt;=5")&gt;0),(Editavel!$B$17-SUM(Departamentos!$B:$B)-SUM(Funcionarios!$F$2:$F$191))*Editavel!$C$29/COUNTIF(Funcionarios!$D$2:$D$191,"&gt;=5"),0))*IF(Funcionarios!G22&gt;0,Funcionarios!G22/30,1)</f>
        <v>902.21077322222231</v>
      </c>
      <c r="D22" s="5">
        <f>IF(COUNTIF(Funcionarios!$B$2:$B$191,Funcionarios!B22)&gt;0,SUMIFS(Departamentos!$B:$B,Departamentos!$C:$C,Funcionarios!B22)/COUNTIF(Funcionarios!$B$2:$B$191,Funcionarios!B22)*IF(Funcionarios!G22&gt;0,Funcionarios!G22/30,1),0)</f>
        <v>0</v>
      </c>
      <c r="E22" s="5">
        <f>Funcionarios!$F22</f>
        <v>0</v>
      </c>
      <c r="F22" s="5">
        <f>Funcionarios!$E22</f>
        <v>0</v>
      </c>
      <c r="G22" s="5">
        <f t="shared" si="0"/>
        <v>902.21077322222231</v>
      </c>
    </row>
    <row r="23" spans="1:7" x14ac:dyDescent="0.25">
      <c r="A23" t="str">
        <f>Funcionarios!A23</f>
        <v>Generina Jovelina Da Silva</v>
      </c>
      <c r="B23" t="str">
        <f>Funcionarios!B23</f>
        <v>governança</v>
      </c>
      <c r="C23" s="5">
        <f>(IF(AND(Funcionarios!D23&gt;=1,COUNTIF(Funcionarios!$D$2:$D$191,"&gt;=1")&gt;0),(Editavel!$B$17-SUM(Departamentos!$B:$B)-SUM(Funcionarios!$F$2:$F$191))*Editavel!$C$25/COUNTIF(Funcionarios!$D$2:$D$191,"&gt;=1"),0)+IF(AND(Funcionarios!D23&gt;=2,COUNTIF(Funcionarios!$D$2:$D$191,"&gt;=2")&gt;0),(Editavel!$B$17-SUM(Departamentos!$B:$B)-SUM(Funcionarios!$F$2:$F$191))*Editavel!$C$26/COUNTIF(Funcionarios!$D$2:$D$191,"&gt;=2"),0)+IF(AND(Funcionarios!D23&gt;=3,COUNTIF(Funcionarios!$D$2:$D$191,"&gt;=3")&gt;0),(Editavel!$B$17-SUM(Departamentos!$B:$B)-SUM(Funcionarios!$F$2:$F$191))*Editavel!$C$27/COUNTIF(Funcionarios!$D$2:$D$191,"&gt;=3"),0)+IF(AND(Funcionarios!D23&gt;=4,COUNTIF(Funcionarios!$D$2:$D$191,"&gt;=4")&gt;0),(Editavel!$B$17-SUM(Departamentos!$B:$B)-SUM(Funcionarios!$F$2:$F$191))*Editavel!$C$28/COUNTIF(Funcionarios!$D$2:$D$191,"&gt;=4"),0)+IF(AND(Funcionarios!D23&gt;=5,COUNTIF(Funcionarios!$D$2:$D$191,"&gt;=5")&gt;0),(Editavel!$B$17-SUM(Departamentos!$B:$B)-SUM(Funcionarios!$F$2:$F$191))*Editavel!$C$29/COUNTIF(Funcionarios!$D$2:$D$191,"&gt;=5"),0))*IF(Funcionarios!G23&gt;0,Funcionarios!G23/30,1)</f>
        <v>554.94473975555559</v>
      </c>
      <c r="D23" s="5">
        <f>IF(COUNTIF(Funcionarios!$B$2:$B$191,Funcionarios!B23)&gt;0,SUMIFS(Departamentos!$B:$B,Departamentos!$C:$C,Funcionarios!B23)/COUNTIF(Funcionarios!$B$2:$B$191,Funcionarios!B23)*IF(Funcionarios!G23&gt;0,Funcionarios!G23/30,1),0)</f>
        <v>0</v>
      </c>
      <c r="E23" s="5">
        <f>Funcionarios!$F23</f>
        <v>0</v>
      </c>
      <c r="F23" s="5">
        <f>Funcionarios!$E23</f>
        <v>0</v>
      </c>
      <c r="G23" s="5">
        <f t="shared" si="0"/>
        <v>554.94473975555559</v>
      </c>
    </row>
    <row r="24" spans="1:7" x14ac:dyDescent="0.25">
      <c r="A24" t="str">
        <f>Funcionarios!A24</f>
        <v>Gilvan Santos de Brito</v>
      </c>
      <c r="B24" t="str">
        <f>Funcionarios!B24</f>
        <v>manutenção</v>
      </c>
      <c r="C24" s="5">
        <f>(IF(AND(Funcionarios!D24&gt;=1,COUNTIF(Funcionarios!$D$2:$D$191,"&gt;=1")&gt;0),(Editavel!$B$17-SUM(Departamentos!$B:$B)-SUM(Funcionarios!$F$2:$F$191))*Editavel!$C$25/COUNTIF(Funcionarios!$D$2:$D$191,"&gt;=1"),0)+IF(AND(Funcionarios!D24&gt;=2,COUNTIF(Funcionarios!$D$2:$D$191,"&gt;=2")&gt;0),(Editavel!$B$17-SUM(Departamentos!$B:$B)-SUM(Funcionarios!$F$2:$F$191))*Editavel!$C$26/COUNTIF(Funcionarios!$D$2:$D$191,"&gt;=2"),0)+IF(AND(Funcionarios!D24&gt;=3,COUNTIF(Funcionarios!$D$2:$D$191,"&gt;=3")&gt;0),(Editavel!$B$17-SUM(Departamentos!$B:$B)-SUM(Funcionarios!$F$2:$F$191))*Editavel!$C$27/COUNTIF(Funcionarios!$D$2:$D$191,"&gt;=3"),0)+IF(AND(Funcionarios!D24&gt;=4,COUNTIF(Funcionarios!$D$2:$D$191,"&gt;=4")&gt;0),(Editavel!$B$17-SUM(Departamentos!$B:$B)-SUM(Funcionarios!$F$2:$F$191))*Editavel!$C$28/COUNTIF(Funcionarios!$D$2:$D$191,"&gt;=4"),0)+IF(AND(Funcionarios!D24&gt;=5,COUNTIF(Funcionarios!$D$2:$D$191,"&gt;=5")&gt;0),(Editavel!$B$17-SUM(Departamentos!$B:$B)-SUM(Funcionarios!$F$2:$F$191))*Editavel!$C$29/COUNTIF(Funcionarios!$D$2:$D$191,"&gt;=5"),0))*IF(Funcionarios!G24&gt;0,Funcionarios!G24/30,1)</f>
        <v>1392.4687028222224</v>
      </c>
      <c r="D24" s="5">
        <f>IF(COUNTIF(Funcionarios!$B$2:$B$191,Funcionarios!B24)&gt;0,SUMIFS(Departamentos!$B:$B,Departamentos!$C:$C,Funcionarios!B24)/COUNTIF(Funcionarios!$B$2:$B$191,Funcionarios!B24)*IF(Funcionarios!G24&gt;0,Funcionarios!G24/30,1),0)</f>
        <v>0</v>
      </c>
      <c r="E24" s="5">
        <f>Funcionarios!$F24</f>
        <v>0</v>
      </c>
      <c r="F24" s="5">
        <f>Funcionarios!$E24</f>
        <v>0</v>
      </c>
      <c r="G24" s="5">
        <f t="shared" si="0"/>
        <v>1392.4687028222224</v>
      </c>
    </row>
    <row r="25" spans="1:7" x14ac:dyDescent="0.25">
      <c r="A25" t="str">
        <f>Funcionarios!A25</f>
        <v>Guilherme Henrique da Silva</v>
      </c>
      <c r="B25" t="str">
        <f>Funcionarios!B25</f>
        <v>serviço</v>
      </c>
      <c r="C25" s="5">
        <f>(IF(AND(Funcionarios!D25&gt;=1,COUNTIF(Funcionarios!$D$2:$D$191,"&gt;=1")&gt;0),(Editavel!$B$17-SUM(Departamentos!$B:$B)-SUM(Funcionarios!$F$2:$F$191))*Editavel!$C$25/COUNTIF(Funcionarios!$D$2:$D$191,"&gt;=1"),0)+IF(AND(Funcionarios!D25&gt;=2,COUNTIF(Funcionarios!$D$2:$D$191,"&gt;=2")&gt;0),(Editavel!$B$17-SUM(Departamentos!$B:$B)-SUM(Funcionarios!$F$2:$F$191))*Editavel!$C$26/COUNTIF(Funcionarios!$D$2:$D$191,"&gt;=2"),0)+IF(AND(Funcionarios!D25&gt;=3,COUNTIF(Funcionarios!$D$2:$D$191,"&gt;=3")&gt;0),(Editavel!$B$17-SUM(Departamentos!$B:$B)-SUM(Funcionarios!$F$2:$F$191))*Editavel!$C$27/COUNTIF(Funcionarios!$D$2:$D$191,"&gt;=3"),0)+IF(AND(Funcionarios!D25&gt;=4,COUNTIF(Funcionarios!$D$2:$D$191,"&gt;=4")&gt;0),(Editavel!$B$17-SUM(Departamentos!$B:$B)-SUM(Funcionarios!$F$2:$F$191))*Editavel!$C$28/COUNTIF(Funcionarios!$D$2:$D$191,"&gt;=4"),0)+IF(AND(Funcionarios!D25&gt;=5,COUNTIF(Funcionarios!$D$2:$D$191,"&gt;=5")&gt;0),(Editavel!$B$17-SUM(Departamentos!$B:$B)-SUM(Funcionarios!$F$2:$F$191))*Editavel!$C$29/COUNTIF(Funcionarios!$D$2:$D$191,"&gt;=5"),0))*IF(Funcionarios!G25&gt;0,Funcionarios!G25/30,1)</f>
        <v>902.21077322222231</v>
      </c>
      <c r="D25" s="5">
        <f>IF(COUNTIF(Funcionarios!$B$2:$B$191,Funcionarios!B25)&gt;0,SUMIFS(Departamentos!$B:$B,Departamentos!$C:$C,Funcionarios!B25)/COUNTIF(Funcionarios!$B$2:$B$191,Funcionarios!B25)*IF(Funcionarios!G25&gt;0,Funcionarios!G25/30,1),0)</f>
        <v>0</v>
      </c>
      <c r="E25" s="5">
        <f>Funcionarios!$F25</f>
        <v>0</v>
      </c>
      <c r="F25" s="5">
        <f>Funcionarios!$E25</f>
        <v>0</v>
      </c>
      <c r="G25" s="5">
        <f t="shared" si="0"/>
        <v>902.21077322222231</v>
      </c>
    </row>
    <row r="26" spans="1:7" x14ac:dyDescent="0.25">
      <c r="A26" t="str">
        <f>Funcionarios!A26</f>
        <v>Iraquitan De Freitas Lima Junior</v>
      </c>
      <c r="B26" t="str">
        <f>Funcionarios!B26</f>
        <v>recepção</v>
      </c>
      <c r="C26" s="5">
        <f>(IF(AND(Funcionarios!D26&gt;=1,COUNTIF(Funcionarios!$D$2:$D$191,"&gt;=1")&gt;0),(Editavel!$B$17-SUM(Departamentos!$B:$B)-SUM(Funcionarios!$F$2:$F$191))*Editavel!$C$25/COUNTIF(Funcionarios!$D$2:$D$191,"&gt;=1"),0)+IF(AND(Funcionarios!D26&gt;=2,COUNTIF(Funcionarios!$D$2:$D$191,"&gt;=2")&gt;0),(Editavel!$B$17-SUM(Departamentos!$B:$B)-SUM(Funcionarios!$F$2:$F$191))*Editavel!$C$26/COUNTIF(Funcionarios!$D$2:$D$191,"&gt;=2"),0)+IF(AND(Funcionarios!D26&gt;=3,COUNTIF(Funcionarios!$D$2:$D$191,"&gt;=3")&gt;0),(Editavel!$B$17-SUM(Departamentos!$B:$B)-SUM(Funcionarios!$F$2:$F$191))*Editavel!$C$27/COUNTIF(Funcionarios!$D$2:$D$191,"&gt;=3"),0)+IF(AND(Funcionarios!D26&gt;=4,COUNTIF(Funcionarios!$D$2:$D$191,"&gt;=4")&gt;0),(Editavel!$B$17-SUM(Departamentos!$B:$B)-SUM(Funcionarios!$F$2:$F$191))*Editavel!$C$28/COUNTIF(Funcionarios!$D$2:$D$191,"&gt;=4"),0)+IF(AND(Funcionarios!D26&gt;=5,COUNTIF(Funcionarios!$D$2:$D$191,"&gt;=5")&gt;0),(Editavel!$B$17-SUM(Departamentos!$B:$B)-SUM(Funcionarios!$F$2:$F$191))*Editavel!$C$29/COUNTIF(Funcionarios!$D$2:$D$191,"&gt;=5"),0))*IF(Funcionarios!G26&gt;0,Funcionarios!G26/30,1)</f>
        <v>1392.4687028222224</v>
      </c>
      <c r="D26" s="5">
        <f>IF(COUNTIF(Funcionarios!$B$2:$B$191,Funcionarios!B26)&gt;0,SUMIFS(Departamentos!$B:$B,Departamentos!$C:$C,Funcionarios!B26)/COUNTIF(Funcionarios!$B$2:$B$191,Funcionarios!B26)*IF(Funcionarios!G26&gt;0,Funcionarios!G26/30,1),0)</f>
        <v>0</v>
      </c>
      <c r="E26" s="5">
        <f>Funcionarios!$F26</f>
        <v>0</v>
      </c>
      <c r="F26" s="5">
        <f>Funcionarios!$E26</f>
        <v>468.72</v>
      </c>
      <c r="G26" s="5">
        <f t="shared" si="0"/>
        <v>923.74870282222241</v>
      </c>
    </row>
    <row r="27" spans="1:7" x14ac:dyDescent="0.25">
      <c r="A27" t="str">
        <f>Funcionarios!A27</f>
        <v xml:space="preserve">Jaqueline Maria Santos da Silva </v>
      </c>
      <c r="B27" t="str">
        <f>Funcionarios!B27</f>
        <v>governança</v>
      </c>
      <c r="C27" s="5">
        <f>(IF(AND(Funcionarios!D27&gt;=1,COUNTIF(Funcionarios!$D$2:$D$191,"&gt;=1")&gt;0),(Editavel!$B$17-SUM(Departamentos!$B:$B)-SUM(Funcionarios!$F$2:$F$191))*Editavel!$C$25/COUNTIF(Funcionarios!$D$2:$D$191,"&gt;=1"),0)+IF(AND(Funcionarios!D27&gt;=2,COUNTIF(Funcionarios!$D$2:$D$191,"&gt;=2")&gt;0),(Editavel!$B$17-SUM(Departamentos!$B:$B)-SUM(Funcionarios!$F$2:$F$191))*Editavel!$C$26/COUNTIF(Funcionarios!$D$2:$D$191,"&gt;=2"),0)+IF(AND(Funcionarios!D27&gt;=3,COUNTIF(Funcionarios!$D$2:$D$191,"&gt;=3")&gt;0),(Editavel!$B$17-SUM(Departamentos!$B:$B)-SUM(Funcionarios!$F$2:$F$191))*Editavel!$C$27/COUNTIF(Funcionarios!$D$2:$D$191,"&gt;=3"),0)+IF(AND(Funcionarios!D27&gt;=4,COUNTIF(Funcionarios!$D$2:$D$191,"&gt;=4")&gt;0),(Editavel!$B$17-SUM(Departamentos!$B:$B)-SUM(Funcionarios!$F$2:$F$191))*Editavel!$C$28/COUNTIF(Funcionarios!$D$2:$D$191,"&gt;=4"),0)+IF(AND(Funcionarios!D27&gt;=5,COUNTIF(Funcionarios!$D$2:$D$191,"&gt;=5")&gt;0),(Editavel!$B$17-SUM(Departamentos!$B:$B)-SUM(Funcionarios!$F$2:$F$191))*Editavel!$C$29/COUNTIF(Funcionarios!$D$2:$D$191,"&gt;=5"),0))*IF(Funcionarios!G27&gt;0,Funcionarios!G27/30,1)</f>
        <v>217.89241315555554</v>
      </c>
      <c r="D27" s="5">
        <f>IF(COUNTIF(Funcionarios!$B$2:$B$191,Funcionarios!B27)&gt;0,SUMIFS(Departamentos!$B:$B,Departamentos!$C:$C,Funcionarios!B27)/COUNTIF(Funcionarios!$B$2:$B$191,Funcionarios!B27)*IF(Funcionarios!G27&gt;0,Funcionarios!G27/30,1),0)</f>
        <v>0</v>
      </c>
      <c r="E27" s="5">
        <f>Funcionarios!$F27</f>
        <v>0</v>
      </c>
      <c r="F27" s="5">
        <f>Funcionarios!$E27</f>
        <v>0</v>
      </c>
      <c r="G27" s="5">
        <f t="shared" si="0"/>
        <v>217.89241315555554</v>
      </c>
    </row>
    <row r="28" spans="1:7" x14ac:dyDescent="0.25">
      <c r="A28" t="str">
        <f>Funcionarios!A28</f>
        <v>Jose Antunes Rocha e Silva do Nascimento</v>
      </c>
      <c r="B28" t="str">
        <f>Funcionarios!B28</f>
        <v>serviço</v>
      </c>
      <c r="C28" s="5">
        <f>(IF(AND(Funcionarios!D28&gt;=1,COUNTIF(Funcionarios!$D$2:$D$191,"&gt;=1")&gt;0),(Editavel!$B$17-SUM(Departamentos!$B:$B)-SUM(Funcionarios!$F$2:$F$191))*Editavel!$C$25/COUNTIF(Funcionarios!$D$2:$D$191,"&gt;=1"),0)+IF(AND(Funcionarios!D28&gt;=2,COUNTIF(Funcionarios!$D$2:$D$191,"&gt;=2")&gt;0),(Editavel!$B$17-SUM(Departamentos!$B:$B)-SUM(Funcionarios!$F$2:$F$191))*Editavel!$C$26/COUNTIF(Funcionarios!$D$2:$D$191,"&gt;=2"),0)+IF(AND(Funcionarios!D28&gt;=3,COUNTIF(Funcionarios!$D$2:$D$191,"&gt;=3")&gt;0),(Editavel!$B$17-SUM(Departamentos!$B:$B)-SUM(Funcionarios!$F$2:$F$191))*Editavel!$C$27/COUNTIF(Funcionarios!$D$2:$D$191,"&gt;=3"),0)+IF(AND(Funcionarios!D28&gt;=4,COUNTIF(Funcionarios!$D$2:$D$191,"&gt;=4")&gt;0),(Editavel!$B$17-SUM(Departamentos!$B:$B)-SUM(Funcionarios!$F$2:$F$191))*Editavel!$C$28/COUNTIF(Funcionarios!$D$2:$D$191,"&gt;=4"),0)+IF(AND(Funcionarios!D28&gt;=5,COUNTIF(Funcionarios!$D$2:$D$191,"&gt;=5")&gt;0),(Editavel!$B$17-SUM(Departamentos!$B:$B)-SUM(Funcionarios!$F$2:$F$191))*Editavel!$C$29/COUNTIF(Funcionarios!$D$2:$D$191,"&gt;=5"),0))*IF(Funcionarios!G28&gt;0,Funcionarios!G28/30,1)</f>
        <v>696.23435141111122</v>
      </c>
      <c r="D28" s="5">
        <f>IF(COUNTIF(Funcionarios!$B$2:$B$191,Funcionarios!B28)&gt;0,SUMIFS(Departamentos!$B:$B,Departamentos!$C:$C,Funcionarios!B28)/COUNTIF(Funcionarios!$B$2:$B$191,Funcionarios!B28)*IF(Funcionarios!G28&gt;0,Funcionarios!G28/30,1),0)</f>
        <v>0</v>
      </c>
      <c r="E28" s="5">
        <f>Funcionarios!$F28</f>
        <v>0</v>
      </c>
      <c r="F28" s="5">
        <f>Funcionarios!$E28</f>
        <v>198.07</v>
      </c>
      <c r="G28" s="5">
        <f t="shared" si="0"/>
        <v>498.16435141111123</v>
      </c>
    </row>
    <row r="29" spans="1:7" x14ac:dyDescent="0.25">
      <c r="A29" t="str">
        <f>Funcionarios!A29</f>
        <v>Jose Cicero Santos Acioli de Melo</v>
      </c>
      <c r="B29" t="str">
        <f>Funcionarios!B29</f>
        <v>manutenção</v>
      </c>
      <c r="C29" s="5">
        <f>(IF(AND(Funcionarios!D29&gt;=1,COUNTIF(Funcionarios!$D$2:$D$191,"&gt;=1")&gt;0),(Editavel!$B$17-SUM(Departamentos!$B:$B)-SUM(Funcionarios!$F$2:$F$191))*Editavel!$C$25/COUNTIF(Funcionarios!$D$2:$D$191,"&gt;=1"),0)+IF(AND(Funcionarios!D29&gt;=2,COUNTIF(Funcionarios!$D$2:$D$191,"&gt;=2")&gt;0),(Editavel!$B$17-SUM(Departamentos!$B:$B)-SUM(Funcionarios!$F$2:$F$191))*Editavel!$C$26/COUNTIF(Funcionarios!$D$2:$D$191,"&gt;=2"),0)+IF(AND(Funcionarios!D29&gt;=3,COUNTIF(Funcionarios!$D$2:$D$191,"&gt;=3")&gt;0),(Editavel!$B$17-SUM(Departamentos!$B:$B)-SUM(Funcionarios!$F$2:$F$191))*Editavel!$C$27/COUNTIF(Funcionarios!$D$2:$D$191,"&gt;=3"),0)+IF(AND(Funcionarios!D29&gt;=4,COUNTIF(Funcionarios!$D$2:$D$191,"&gt;=4")&gt;0),(Editavel!$B$17-SUM(Departamentos!$B:$B)-SUM(Funcionarios!$F$2:$F$191))*Editavel!$C$28/COUNTIF(Funcionarios!$D$2:$D$191,"&gt;=4"),0)+IF(AND(Funcionarios!D29&gt;=5,COUNTIF(Funcionarios!$D$2:$D$191,"&gt;=5")&gt;0),(Editavel!$B$17-SUM(Departamentos!$B:$B)-SUM(Funcionarios!$F$2:$F$191))*Editavel!$C$29/COUNTIF(Funcionarios!$D$2:$D$191,"&gt;=5"),0))*IF(Funcionarios!G29&gt;0,Funcionarios!G29/30,1)</f>
        <v>87.156965262222229</v>
      </c>
      <c r="D29" s="5">
        <f>IF(COUNTIF(Funcionarios!$B$2:$B$191,Funcionarios!B29)&gt;0,SUMIFS(Departamentos!$B:$B,Departamentos!$C:$C,Funcionarios!B29)/COUNTIF(Funcionarios!$B$2:$B$191,Funcionarios!B29)*IF(Funcionarios!G29&gt;0,Funcionarios!G29/30,1),0)</f>
        <v>0</v>
      </c>
      <c r="E29" s="5">
        <f>Funcionarios!$F29</f>
        <v>0</v>
      </c>
      <c r="F29" s="5">
        <f>Funcionarios!$E29</f>
        <v>0</v>
      </c>
      <c r="G29" s="5">
        <f t="shared" si="0"/>
        <v>87.156965262222229</v>
      </c>
    </row>
    <row r="30" spans="1:7" x14ac:dyDescent="0.25">
      <c r="A30" t="str">
        <f>Funcionarios!A30</f>
        <v xml:space="preserve">José Edson França dos Santos </v>
      </c>
      <c r="B30" t="str">
        <f>Funcionarios!B30</f>
        <v>serviço</v>
      </c>
      <c r="C30" s="5">
        <f>(IF(AND(Funcionarios!D30&gt;=1,COUNTIF(Funcionarios!$D$2:$D$191,"&gt;=1")&gt;0),(Editavel!$B$17-SUM(Departamentos!$B:$B)-SUM(Funcionarios!$F$2:$F$191))*Editavel!$C$25/COUNTIF(Funcionarios!$D$2:$D$191,"&gt;=1"),0)+IF(AND(Funcionarios!D30&gt;=2,COUNTIF(Funcionarios!$D$2:$D$191,"&gt;=2")&gt;0),(Editavel!$B$17-SUM(Departamentos!$B:$B)-SUM(Funcionarios!$F$2:$F$191))*Editavel!$C$26/COUNTIF(Funcionarios!$D$2:$D$191,"&gt;=2"),0)+IF(AND(Funcionarios!D30&gt;=3,COUNTIF(Funcionarios!$D$2:$D$191,"&gt;=3")&gt;0),(Editavel!$B$17-SUM(Departamentos!$B:$B)-SUM(Funcionarios!$F$2:$F$191))*Editavel!$C$27/COUNTIF(Funcionarios!$D$2:$D$191,"&gt;=3"),0)+IF(AND(Funcionarios!D30&gt;=4,COUNTIF(Funcionarios!$D$2:$D$191,"&gt;=4")&gt;0),(Editavel!$B$17-SUM(Departamentos!$B:$B)-SUM(Funcionarios!$F$2:$F$191))*Editavel!$C$28/COUNTIF(Funcionarios!$D$2:$D$191,"&gt;=4"),0)+IF(AND(Funcionarios!D30&gt;=5,COUNTIF(Funcionarios!$D$2:$D$191,"&gt;=5")&gt;0),(Editavel!$B$17-SUM(Departamentos!$B:$B)-SUM(Funcionarios!$F$2:$F$191))*Editavel!$C$29/COUNTIF(Funcionarios!$D$2:$D$191,"&gt;=5"),0))*IF(Funcionarios!G30&gt;0,Funcionarios!G30/30,1)</f>
        <v>217.89241315555554</v>
      </c>
      <c r="D30" s="5">
        <f>IF(COUNTIF(Funcionarios!$B$2:$B$191,Funcionarios!B30)&gt;0,SUMIFS(Departamentos!$B:$B,Departamentos!$C:$C,Funcionarios!B30)/COUNTIF(Funcionarios!$B$2:$B$191,Funcionarios!B30)*IF(Funcionarios!G30&gt;0,Funcionarios!G30/30,1),0)</f>
        <v>0</v>
      </c>
      <c r="E30" s="5">
        <f>Funcionarios!$F30</f>
        <v>0</v>
      </c>
      <c r="F30" s="5">
        <f>Funcionarios!$E30</f>
        <v>0</v>
      </c>
      <c r="G30" s="5">
        <f t="shared" si="0"/>
        <v>217.89241315555554</v>
      </c>
    </row>
    <row r="31" spans="1:7" x14ac:dyDescent="0.25">
      <c r="A31" t="str">
        <f>Funcionarios!A31</f>
        <v>José Gomes Da Silva</v>
      </c>
      <c r="B31" t="str">
        <f>Funcionarios!B31</f>
        <v>serviço</v>
      </c>
      <c r="C31" s="5">
        <f>(IF(AND(Funcionarios!D31&gt;=1,COUNTIF(Funcionarios!$D$2:$D$191,"&gt;=1")&gt;0),(Editavel!$B$17-SUM(Departamentos!$B:$B)-SUM(Funcionarios!$F$2:$F$191))*Editavel!$C$25/COUNTIF(Funcionarios!$D$2:$D$191,"&gt;=1"),0)+IF(AND(Funcionarios!D31&gt;=2,COUNTIF(Funcionarios!$D$2:$D$191,"&gt;=2")&gt;0),(Editavel!$B$17-SUM(Departamentos!$B:$B)-SUM(Funcionarios!$F$2:$F$191))*Editavel!$C$26/COUNTIF(Funcionarios!$D$2:$D$191,"&gt;=2"),0)+IF(AND(Funcionarios!D31&gt;=3,COUNTIF(Funcionarios!$D$2:$D$191,"&gt;=3")&gt;0),(Editavel!$B$17-SUM(Departamentos!$B:$B)-SUM(Funcionarios!$F$2:$F$191))*Editavel!$C$27/COUNTIF(Funcionarios!$D$2:$D$191,"&gt;=3"),0)+IF(AND(Funcionarios!D31&gt;=4,COUNTIF(Funcionarios!$D$2:$D$191,"&gt;=4")&gt;0),(Editavel!$B$17-SUM(Departamentos!$B:$B)-SUM(Funcionarios!$F$2:$F$191))*Editavel!$C$28/COUNTIF(Funcionarios!$D$2:$D$191,"&gt;=4"),0)+IF(AND(Funcionarios!D31&gt;=5,COUNTIF(Funcionarios!$D$2:$D$191,"&gt;=5")&gt;0),(Editavel!$B$17-SUM(Departamentos!$B:$B)-SUM(Funcionarios!$F$2:$F$191))*Editavel!$C$29/COUNTIF(Funcionarios!$D$2:$D$191,"&gt;=5"),0))*IF(Funcionarios!G31&gt;0,Funcionarios!G31/30,1)</f>
        <v>554.94473975555559</v>
      </c>
      <c r="D31" s="5">
        <f>IF(COUNTIF(Funcionarios!$B$2:$B$191,Funcionarios!B31)&gt;0,SUMIFS(Departamentos!$B:$B,Departamentos!$C:$C,Funcionarios!B31)/COUNTIF(Funcionarios!$B$2:$B$191,Funcionarios!B31)*IF(Funcionarios!G31&gt;0,Funcionarios!G31/30,1),0)</f>
        <v>0</v>
      </c>
      <c r="E31" s="5">
        <f>Funcionarios!$F31</f>
        <v>0</v>
      </c>
      <c r="F31" s="5">
        <f>Funcionarios!$E31</f>
        <v>0</v>
      </c>
      <c r="G31" s="5">
        <f t="shared" si="0"/>
        <v>554.94473975555559</v>
      </c>
    </row>
    <row r="32" spans="1:7" x14ac:dyDescent="0.25">
      <c r="A32" t="str">
        <f>Funcionarios!A32</f>
        <v xml:space="preserve">José Henrique Lucena da Silva </v>
      </c>
      <c r="B32" t="str">
        <f>Funcionarios!B32</f>
        <v>serviço</v>
      </c>
      <c r="C32" s="5">
        <f>(IF(AND(Funcionarios!D32&gt;=1,COUNTIF(Funcionarios!$D$2:$D$191,"&gt;=1")&gt;0),(Editavel!$B$17-SUM(Departamentos!$B:$B)-SUM(Funcionarios!$F$2:$F$191))*Editavel!$C$25/COUNTIF(Funcionarios!$D$2:$D$191,"&gt;=1"),0)+IF(AND(Funcionarios!D32&gt;=2,COUNTIF(Funcionarios!$D$2:$D$191,"&gt;=2")&gt;0),(Editavel!$B$17-SUM(Departamentos!$B:$B)-SUM(Funcionarios!$F$2:$F$191))*Editavel!$C$26/COUNTIF(Funcionarios!$D$2:$D$191,"&gt;=2"),0)+IF(AND(Funcionarios!D32&gt;=3,COUNTIF(Funcionarios!$D$2:$D$191,"&gt;=3")&gt;0),(Editavel!$B$17-SUM(Departamentos!$B:$B)-SUM(Funcionarios!$F$2:$F$191))*Editavel!$C$27/COUNTIF(Funcionarios!$D$2:$D$191,"&gt;=3"),0)+IF(AND(Funcionarios!D32&gt;=4,COUNTIF(Funcionarios!$D$2:$D$191,"&gt;=4")&gt;0),(Editavel!$B$17-SUM(Departamentos!$B:$B)-SUM(Funcionarios!$F$2:$F$191))*Editavel!$C$28/COUNTIF(Funcionarios!$D$2:$D$191,"&gt;=4"),0)+IF(AND(Funcionarios!D32&gt;=5,COUNTIF(Funcionarios!$D$2:$D$191,"&gt;=5")&gt;0),(Editavel!$B$17-SUM(Departamentos!$B:$B)-SUM(Funcionarios!$F$2:$F$191))*Editavel!$C$29/COUNTIF(Funcionarios!$D$2:$D$191,"&gt;=5"),0))*IF(Funcionarios!G32&gt;0,Funcionarios!G32/30,1)</f>
        <v>217.89241315555554</v>
      </c>
      <c r="D32" s="5">
        <f>IF(COUNTIF(Funcionarios!$B$2:$B$191,Funcionarios!B32)&gt;0,SUMIFS(Departamentos!$B:$B,Departamentos!$C:$C,Funcionarios!B32)/COUNTIF(Funcionarios!$B$2:$B$191,Funcionarios!B32)*IF(Funcionarios!G32&gt;0,Funcionarios!G32/30,1),0)</f>
        <v>0</v>
      </c>
      <c r="E32" s="5">
        <f>Funcionarios!$F32</f>
        <v>0</v>
      </c>
      <c r="F32" s="5">
        <f>Funcionarios!$E32</f>
        <v>0</v>
      </c>
      <c r="G32" s="5">
        <f t="shared" si="0"/>
        <v>217.89241315555554</v>
      </c>
    </row>
    <row r="33" spans="1:7" x14ac:dyDescent="0.25">
      <c r="A33" t="str">
        <f>Funcionarios!A33</f>
        <v>Jose Roberto Da Silva</v>
      </c>
      <c r="B33" t="str">
        <f>Funcionarios!B33</f>
        <v>recepção</v>
      </c>
      <c r="C33" s="5">
        <f>(IF(AND(Funcionarios!D33&gt;=1,COUNTIF(Funcionarios!$D$2:$D$191,"&gt;=1")&gt;0),(Editavel!$B$17-SUM(Departamentos!$B:$B)-SUM(Funcionarios!$F$2:$F$191))*Editavel!$C$25/COUNTIF(Funcionarios!$D$2:$D$191,"&gt;=1"),0)+IF(AND(Funcionarios!D33&gt;=2,COUNTIF(Funcionarios!$D$2:$D$191,"&gt;=2")&gt;0),(Editavel!$B$17-SUM(Departamentos!$B:$B)-SUM(Funcionarios!$F$2:$F$191))*Editavel!$C$26/COUNTIF(Funcionarios!$D$2:$D$191,"&gt;=2"),0)+IF(AND(Funcionarios!D33&gt;=3,COUNTIF(Funcionarios!$D$2:$D$191,"&gt;=3")&gt;0),(Editavel!$B$17-SUM(Departamentos!$B:$B)-SUM(Funcionarios!$F$2:$F$191))*Editavel!$C$27/COUNTIF(Funcionarios!$D$2:$D$191,"&gt;=3"),0)+IF(AND(Funcionarios!D33&gt;=4,COUNTIF(Funcionarios!$D$2:$D$191,"&gt;=4")&gt;0),(Editavel!$B$17-SUM(Departamentos!$B:$B)-SUM(Funcionarios!$F$2:$F$191))*Editavel!$C$28/COUNTIF(Funcionarios!$D$2:$D$191,"&gt;=4"),0)+IF(AND(Funcionarios!D33&gt;=5,COUNTIF(Funcionarios!$D$2:$D$191,"&gt;=5")&gt;0),(Editavel!$B$17-SUM(Departamentos!$B:$B)-SUM(Funcionarios!$F$2:$F$191))*Editavel!$C$29/COUNTIF(Funcionarios!$D$2:$D$191,"&gt;=5"),0))*IF(Funcionarios!G33&gt;0,Funcionarios!G33/30,1)</f>
        <v>145.26160877037034</v>
      </c>
      <c r="D33" s="5">
        <f>IF(COUNTIF(Funcionarios!$B$2:$B$191,Funcionarios!B33)&gt;0,SUMIFS(Departamentos!$B:$B,Departamentos!$C:$C,Funcionarios!B33)/COUNTIF(Funcionarios!$B$2:$B$191,Funcionarios!B33)*IF(Funcionarios!G33&gt;0,Funcionarios!G33/30,1),0)</f>
        <v>0</v>
      </c>
      <c r="E33" s="5">
        <f>Funcionarios!$F33</f>
        <v>0</v>
      </c>
      <c r="F33" s="5">
        <f>Funcionarios!$E33</f>
        <v>0</v>
      </c>
      <c r="G33" s="5">
        <f t="shared" si="0"/>
        <v>145.26160877037034</v>
      </c>
    </row>
    <row r="34" spans="1:7" x14ac:dyDescent="0.25">
      <c r="A34" t="str">
        <f>Funcionarios!A34</f>
        <v>Josenice Maria De Oliveira</v>
      </c>
      <c r="B34" t="str">
        <f>Funcionarios!B34</f>
        <v>cozinha</v>
      </c>
      <c r="C34" s="5">
        <f>(IF(AND(Funcionarios!D34&gt;=1,COUNTIF(Funcionarios!$D$2:$D$191,"&gt;=1")&gt;0),(Editavel!$B$17-SUM(Departamentos!$B:$B)-SUM(Funcionarios!$F$2:$F$191))*Editavel!$C$25/COUNTIF(Funcionarios!$D$2:$D$191,"&gt;=1"),0)+IF(AND(Funcionarios!D34&gt;=2,COUNTIF(Funcionarios!$D$2:$D$191,"&gt;=2")&gt;0),(Editavel!$B$17-SUM(Departamentos!$B:$B)-SUM(Funcionarios!$F$2:$F$191))*Editavel!$C$26/COUNTIF(Funcionarios!$D$2:$D$191,"&gt;=2"),0)+IF(AND(Funcionarios!D34&gt;=3,COUNTIF(Funcionarios!$D$2:$D$191,"&gt;=3")&gt;0),(Editavel!$B$17-SUM(Departamentos!$B:$B)-SUM(Funcionarios!$F$2:$F$191))*Editavel!$C$27/COUNTIF(Funcionarios!$D$2:$D$191,"&gt;=3"),0)+IF(AND(Funcionarios!D34&gt;=4,COUNTIF(Funcionarios!$D$2:$D$191,"&gt;=4")&gt;0),(Editavel!$B$17-SUM(Departamentos!$B:$B)-SUM(Funcionarios!$F$2:$F$191))*Editavel!$C$28/COUNTIF(Funcionarios!$D$2:$D$191,"&gt;=4"),0)+IF(AND(Funcionarios!D34&gt;=5,COUNTIF(Funcionarios!$D$2:$D$191,"&gt;=5")&gt;0),(Editavel!$B$17-SUM(Departamentos!$B:$B)-SUM(Funcionarios!$F$2:$F$191))*Editavel!$C$29/COUNTIF(Funcionarios!$D$2:$D$191,"&gt;=5"),0))*IF(Funcionarios!G34&gt;0,Funcionarios!G34/30,1)</f>
        <v>554.94473975555559</v>
      </c>
      <c r="D34" s="5">
        <f>IF(COUNTIF(Funcionarios!$B$2:$B$191,Funcionarios!B34)&gt;0,SUMIFS(Departamentos!$B:$B,Departamentos!$C:$C,Funcionarios!B34)/COUNTIF(Funcionarios!$B$2:$B$191,Funcionarios!B34)*IF(Funcionarios!G34&gt;0,Funcionarios!G34/30,1),0)</f>
        <v>0</v>
      </c>
      <c r="E34" s="5">
        <f>Funcionarios!$F34</f>
        <v>0</v>
      </c>
      <c r="F34" s="5">
        <f>Funcionarios!$E34</f>
        <v>0</v>
      </c>
      <c r="G34" s="5">
        <f t="shared" si="0"/>
        <v>554.94473975555559</v>
      </c>
    </row>
    <row r="35" spans="1:7" x14ac:dyDescent="0.25">
      <c r="A35" t="str">
        <f>Funcionarios!A35</f>
        <v>Kayke Emanoel de Lima</v>
      </c>
      <c r="B35" t="str">
        <f>Funcionarios!B35</f>
        <v>serviço</v>
      </c>
      <c r="C35" s="5">
        <f>(IF(AND(Funcionarios!D35&gt;=1,COUNTIF(Funcionarios!$D$2:$D$191,"&gt;=1")&gt;0),(Editavel!$B$17-SUM(Departamentos!$B:$B)-SUM(Funcionarios!$F$2:$F$191))*Editavel!$C$25/COUNTIF(Funcionarios!$D$2:$D$191,"&gt;=1"),0)+IF(AND(Funcionarios!D35&gt;=2,COUNTIF(Funcionarios!$D$2:$D$191,"&gt;=2")&gt;0),(Editavel!$B$17-SUM(Departamentos!$B:$B)-SUM(Funcionarios!$F$2:$F$191))*Editavel!$C$26/COUNTIF(Funcionarios!$D$2:$D$191,"&gt;=2"),0)+IF(AND(Funcionarios!D35&gt;=3,COUNTIF(Funcionarios!$D$2:$D$191,"&gt;=3")&gt;0),(Editavel!$B$17-SUM(Departamentos!$B:$B)-SUM(Funcionarios!$F$2:$F$191))*Editavel!$C$27/COUNTIF(Funcionarios!$D$2:$D$191,"&gt;=3"),0)+IF(AND(Funcionarios!D35&gt;=4,COUNTIF(Funcionarios!$D$2:$D$191,"&gt;=4")&gt;0),(Editavel!$B$17-SUM(Departamentos!$B:$B)-SUM(Funcionarios!$F$2:$F$191))*Editavel!$C$28/COUNTIF(Funcionarios!$D$2:$D$191,"&gt;=4"),0)+IF(AND(Funcionarios!D35&gt;=5,COUNTIF(Funcionarios!$D$2:$D$191,"&gt;=5")&gt;0),(Editavel!$B$17-SUM(Departamentos!$B:$B)-SUM(Funcionarios!$F$2:$F$191))*Editavel!$C$29/COUNTIF(Funcionarios!$D$2:$D$191,"&gt;=5"),0))*IF(Funcionarios!G35&gt;0,Funcionarios!G35/30,1)</f>
        <v>217.89241315555554</v>
      </c>
      <c r="D35" s="5">
        <f>IF(COUNTIF(Funcionarios!$B$2:$B$191,Funcionarios!B35)&gt;0,SUMIFS(Departamentos!$B:$B,Departamentos!$C:$C,Funcionarios!B35)/COUNTIF(Funcionarios!$B$2:$B$191,Funcionarios!B35)*IF(Funcionarios!G35&gt;0,Funcionarios!G35/30,1),0)</f>
        <v>0</v>
      </c>
      <c r="E35" s="5">
        <f>Funcionarios!$F35</f>
        <v>0</v>
      </c>
      <c r="F35" s="5">
        <f>Funcionarios!$E35</f>
        <v>0</v>
      </c>
      <c r="G35" s="5">
        <f t="shared" si="0"/>
        <v>217.89241315555554</v>
      </c>
    </row>
    <row r="36" spans="1:7" x14ac:dyDescent="0.25">
      <c r="A36" t="str">
        <f>Funcionarios!A36</f>
        <v>Lindinalva Maria Pereira</v>
      </c>
      <c r="B36" t="str">
        <f>Funcionarios!B36</f>
        <v>cozinha</v>
      </c>
      <c r="C36" s="5">
        <f>(IF(AND(Funcionarios!D36&gt;=1,COUNTIF(Funcionarios!$D$2:$D$191,"&gt;=1")&gt;0),(Editavel!$B$17-SUM(Departamentos!$B:$B)-SUM(Funcionarios!$F$2:$F$191))*Editavel!$C$25/COUNTIF(Funcionarios!$D$2:$D$191,"&gt;=1"),0)+IF(AND(Funcionarios!D36&gt;=2,COUNTIF(Funcionarios!$D$2:$D$191,"&gt;=2")&gt;0),(Editavel!$B$17-SUM(Departamentos!$B:$B)-SUM(Funcionarios!$F$2:$F$191))*Editavel!$C$26/COUNTIF(Funcionarios!$D$2:$D$191,"&gt;=2"),0)+IF(AND(Funcionarios!D36&gt;=3,COUNTIF(Funcionarios!$D$2:$D$191,"&gt;=3")&gt;0),(Editavel!$B$17-SUM(Departamentos!$B:$B)-SUM(Funcionarios!$F$2:$F$191))*Editavel!$C$27/COUNTIF(Funcionarios!$D$2:$D$191,"&gt;=3"),0)+IF(AND(Funcionarios!D36&gt;=4,COUNTIF(Funcionarios!$D$2:$D$191,"&gt;=4")&gt;0),(Editavel!$B$17-SUM(Departamentos!$B:$B)-SUM(Funcionarios!$F$2:$F$191))*Editavel!$C$28/COUNTIF(Funcionarios!$D$2:$D$191,"&gt;=4"),0)+IF(AND(Funcionarios!D36&gt;=5,COUNTIF(Funcionarios!$D$2:$D$191,"&gt;=5")&gt;0),(Editavel!$B$17-SUM(Departamentos!$B:$B)-SUM(Funcionarios!$F$2:$F$191))*Editavel!$C$29/COUNTIF(Funcionarios!$D$2:$D$191,"&gt;=5"),0))*IF(Funcionarios!G36&gt;0,Funcionarios!G36/30,1)</f>
        <v>217.89241315555554</v>
      </c>
      <c r="D36" s="5">
        <f>IF(COUNTIF(Funcionarios!$B$2:$B$191,Funcionarios!B36)&gt;0,SUMIFS(Departamentos!$B:$B,Departamentos!$C:$C,Funcionarios!B36)/COUNTIF(Funcionarios!$B$2:$B$191,Funcionarios!B36)*IF(Funcionarios!G36&gt;0,Funcionarios!G36/30,1),0)</f>
        <v>0</v>
      </c>
      <c r="E36" s="5">
        <f>Funcionarios!$F36</f>
        <v>0</v>
      </c>
      <c r="F36" s="5">
        <f>Funcionarios!$E36</f>
        <v>0</v>
      </c>
      <c r="G36" s="5">
        <f t="shared" si="0"/>
        <v>217.89241315555554</v>
      </c>
    </row>
    <row r="37" spans="1:7" x14ac:dyDescent="0.25">
      <c r="A37" t="str">
        <f>Funcionarios!A37</f>
        <v>Luciano Aleixo Dos Santos</v>
      </c>
      <c r="B37" t="str">
        <f>Funcionarios!B37</f>
        <v>manutenção</v>
      </c>
      <c r="C37" s="5">
        <f>(IF(AND(Funcionarios!D37&gt;=1,COUNTIF(Funcionarios!$D$2:$D$191,"&gt;=1")&gt;0),(Editavel!$B$17-SUM(Departamentos!$B:$B)-SUM(Funcionarios!$F$2:$F$191))*Editavel!$C$25/COUNTIF(Funcionarios!$D$2:$D$191,"&gt;=1"),0)+IF(AND(Funcionarios!D37&gt;=2,COUNTIF(Funcionarios!$D$2:$D$191,"&gt;=2")&gt;0),(Editavel!$B$17-SUM(Departamentos!$B:$B)-SUM(Funcionarios!$F$2:$F$191))*Editavel!$C$26/COUNTIF(Funcionarios!$D$2:$D$191,"&gt;=2"),0)+IF(AND(Funcionarios!D37&gt;=3,COUNTIF(Funcionarios!$D$2:$D$191,"&gt;=3")&gt;0),(Editavel!$B$17-SUM(Departamentos!$B:$B)-SUM(Funcionarios!$F$2:$F$191))*Editavel!$C$27/COUNTIF(Funcionarios!$D$2:$D$191,"&gt;=3"),0)+IF(AND(Funcionarios!D37&gt;=4,COUNTIF(Funcionarios!$D$2:$D$191,"&gt;=4")&gt;0),(Editavel!$B$17-SUM(Departamentos!$B:$B)-SUM(Funcionarios!$F$2:$F$191))*Editavel!$C$28/COUNTIF(Funcionarios!$D$2:$D$191,"&gt;=4"),0)+IF(AND(Funcionarios!D37&gt;=5,COUNTIF(Funcionarios!$D$2:$D$191,"&gt;=5")&gt;0),(Editavel!$B$17-SUM(Departamentos!$B:$B)-SUM(Funcionarios!$F$2:$F$191))*Editavel!$C$29/COUNTIF(Funcionarios!$D$2:$D$191,"&gt;=5"),0))*IF(Funcionarios!G37&gt;0,Funcionarios!G37/30,1)</f>
        <v>116.20928701629629</v>
      </c>
      <c r="D37" s="5">
        <f>IF(COUNTIF(Funcionarios!$B$2:$B$191,Funcionarios!B37)&gt;0,SUMIFS(Departamentos!$B:$B,Departamentos!$C:$C,Funcionarios!B37)/COUNTIF(Funcionarios!$B$2:$B$191,Funcionarios!B37)*IF(Funcionarios!G37&gt;0,Funcionarios!G37/30,1),0)</f>
        <v>0</v>
      </c>
      <c r="E37" s="5">
        <f>Funcionarios!$F37</f>
        <v>0</v>
      </c>
      <c r="F37" s="5">
        <f>Funcionarios!$E37</f>
        <v>0</v>
      </c>
      <c r="G37" s="5">
        <f t="shared" si="0"/>
        <v>116.20928701629629</v>
      </c>
    </row>
    <row r="38" spans="1:7" x14ac:dyDescent="0.25">
      <c r="A38" t="str">
        <f>Funcionarios!A38</f>
        <v>Luiz Carlos Rodrigues Dos Santos</v>
      </c>
      <c r="B38" t="str">
        <f>Funcionarios!B38</f>
        <v>manutenção</v>
      </c>
      <c r="C38" s="5">
        <f>(IF(AND(Funcionarios!D38&gt;=1,COUNTIF(Funcionarios!$D$2:$D$191,"&gt;=1")&gt;0),(Editavel!$B$17-SUM(Departamentos!$B:$B)-SUM(Funcionarios!$F$2:$F$191))*Editavel!$C$25/COUNTIF(Funcionarios!$D$2:$D$191,"&gt;=1"),0)+IF(AND(Funcionarios!D38&gt;=2,COUNTIF(Funcionarios!$D$2:$D$191,"&gt;=2")&gt;0),(Editavel!$B$17-SUM(Departamentos!$B:$B)-SUM(Funcionarios!$F$2:$F$191))*Editavel!$C$26/COUNTIF(Funcionarios!$D$2:$D$191,"&gt;=2"),0)+IF(AND(Funcionarios!D38&gt;=3,COUNTIF(Funcionarios!$D$2:$D$191,"&gt;=3")&gt;0),(Editavel!$B$17-SUM(Departamentos!$B:$B)-SUM(Funcionarios!$F$2:$F$191))*Editavel!$C$27/COUNTIF(Funcionarios!$D$2:$D$191,"&gt;=3"),0)+IF(AND(Funcionarios!D38&gt;=4,COUNTIF(Funcionarios!$D$2:$D$191,"&gt;=4")&gt;0),(Editavel!$B$17-SUM(Departamentos!$B:$B)-SUM(Funcionarios!$F$2:$F$191))*Editavel!$C$28/COUNTIF(Funcionarios!$D$2:$D$191,"&gt;=4"),0)+IF(AND(Funcionarios!D38&gt;=5,COUNTIF(Funcionarios!$D$2:$D$191,"&gt;=5")&gt;0),(Editavel!$B$17-SUM(Departamentos!$B:$B)-SUM(Funcionarios!$F$2:$F$191))*Editavel!$C$29/COUNTIF(Funcionarios!$D$2:$D$191,"&gt;=5"),0))*IF(Funcionarios!G38&gt;0,Funcionarios!G38/30,1)</f>
        <v>217.89241315555554</v>
      </c>
      <c r="D38" s="5">
        <f>IF(COUNTIF(Funcionarios!$B$2:$B$191,Funcionarios!B38)&gt;0,SUMIFS(Departamentos!$B:$B,Departamentos!$C:$C,Funcionarios!B38)/COUNTIF(Funcionarios!$B$2:$B$191,Funcionarios!B38)*IF(Funcionarios!G38&gt;0,Funcionarios!G38/30,1),0)</f>
        <v>0</v>
      </c>
      <c r="E38" s="5">
        <f>Funcionarios!$F38</f>
        <v>0</v>
      </c>
      <c r="F38" s="5">
        <f>Funcionarios!$E38</f>
        <v>0</v>
      </c>
      <c r="G38" s="5">
        <f t="shared" si="0"/>
        <v>217.89241315555554</v>
      </c>
    </row>
    <row r="39" spans="1:7" x14ac:dyDescent="0.25">
      <c r="A39" t="str">
        <f>Funcionarios!A39</f>
        <v>Luiz Eduardo Carneiro da Silva</v>
      </c>
      <c r="B39" t="str">
        <f>Funcionarios!B39</f>
        <v>recepção</v>
      </c>
      <c r="C39" s="5">
        <f>(IF(AND(Funcionarios!D39&gt;=1,COUNTIF(Funcionarios!$D$2:$D$191,"&gt;=1")&gt;0),(Editavel!$B$17-SUM(Departamentos!$B:$B)-SUM(Funcionarios!$F$2:$F$191))*Editavel!$C$25/COUNTIF(Funcionarios!$D$2:$D$191,"&gt;=1"),0)+IF(AND(Funcionarios!D39&gt;=2,COUNTIF(Funcionarios!$D$2:$D$191,"&gt;=2")&gt;0),(Editavel!$B$17-SUM(Departamentos!$B:$B)-SUM(Funcionarios!$F$2:$F$191))*Editavel!$C$26/COUNTIF(Funcionarios!$D$2:$D$191,"&gt;=2"),0)+IF(AND(Funcionarios!D39&gt;=3,COUNTIF(Funcionarios!$D$2:$D$191,"&gt;=3")&gt;0),(Editavel!$B$17-SUM(Departamentos!$B:$B)-SUM(Funcionarios!$F$2:$F$191))*Editavel!$C$27/COUNTIF(Funcionarios!$D$2:$D$191,"&gt;=3"),0)+IF(AND(Funcionarios!D39&gt;=4,COUNTIF(Funcionarios!$D$2:$D$191,"&gt;=4")&gt;0),(Editavel!$B$17-SUM(Departamentos!$B:$B)-SUM(Funcionarios!$F$2:$F$191))*Editavel!$C$28/COUNTIF(Funcionarios!$D$2:$D$191,"&gt;=4"),0)+IF(AND(Funcionarios!D39&gt;=5,COUNTIF(Funcionarios!$D$2:$D$191,"&gt;=5")&gt;0),(Editavel!$B$17-SUM(Departamentos!$B:$B)-SUM(Funcionarios!$F$2:$F$191))*Editavel!$C$29/COUNTIF(Funcionarios!$D$2:$D$191,"&gt;=5"),0))*IF(Funcionarios!G39&gt;0,Funcionarios!G39/30,1)</f>
        <v>902.21077322222231</v>
      </c>
      <c r="D39" s="5">
        <f>IF(COUNTIF(Funcionarios!$B$2:$B$191,Funcionarios!B39)&gt;0,SUMIFS(Departamentos!$B:$B,Departamentos!$C:$C,Funcionarios!B39)/COUNTIF(Funcionarios!$B$2:$B$191,Funcionarios!B39)*IF(Funcionarios!G39&gt;0,Funcionarios!G39/30,1),0)</f>
        <v>0</v>
      </c>
      <c r="E39" s="5">
        <f>Funcionarios!$F39</f>
        <v>0</v>
      </c>
      <c r="F39" s="5">
        <f>Funcionarios!$E39</f>
        <v>0</v>
      </c>
      <c r="G39" s="5">
        <f t="shared" si="0"/>
        <v>902.21077322222231</v>
      </c>
    </row>
    <row r="40" spans="1:7" x14ac:dyDescent="0.25">
      <c r="A40" t="str">
        <f>Funcionarios!A40</f>
        <v>Maria Nadier Da Silva</v>
      </c>
      <c r="B40" t="str">
        <f>Funcionarios!B40</f>
        <v>cozinha</v>
      </c>
      <c r="C40" s="5">
        <f>(IF(AND(Funcionarios!D40&gt;=1,COUNTIF(Funcionarios!$D$2:$D$191,"&gt;=1")&gt;0),(Editavel!$B$17-SUM(Departamentos!$B:$B)-SUM(Funcionarios!$F$2:$F$191))*Editavel!$C$25/COUNTIF(Funcionarios!$D$2:$D$191,"&gt;=1"),0)+IF(AND(Funcionarios!D40&gt;=2,COUNTIF(Funcionarios!$D$2:$D$191,"&gt;=2")&gt;0),(Editavel!$B$17-SUM(Departamentos!$B:$B)-SUM(Funcionarios!$F$2:$F$191))*Editavel!$C$26/COUNTIF(Funcionarios!$D$2:$D$191,"&gt;=2"),0)+IF(AND(Funcionarios!D40&gt;=3,COUNTIF(Funcionarios!$D$2:$D$191,"&gt;=3")&gt;0),(Editavel!$B$17-SUM(Departamentos!$B:$B)-SUM(Funcionarios!$F$2:$F$191))*Editavel!$C$27/COUNTIF(Funcionarios!$D$2:$D$191,"&gt;=3"),0)+IF(AND(Funcionarios!D40&gt;=4,COUNTIF(Funcionarios!$D$2:$D$191,"&gt;=4")&gt;0),(Editavel!$B$17-SUM(Departamentos!$B:$B)-SUM(Funcionarios!$F$2:$F$191))*Editavel!$C$28/COUNTIF(Funcionarios!$D$2:$D$191,"&gt;=4"),0)+IF(AND(Funcionarios!D40&gt;=5,COUNTIF(Funcionarios!$D$2:$D$191,"&gt;=5")&gt;0),(Editavel!$B$17-SUM(Departamentos!$B:$B)-SUM(Funcionarios!$F$2:$F$191))*Editavel!$C$29/COUNTIF(Funcionarios!$D$2:$D$191,"&gt;=5"),0))*IF(Funcionarios!G40&gt;0,Funcionarios!G40/30,1)</f>
        <v>217.89241315555554</v>
      </c>
      <c r="D40" s="5">
        <f>IF(COUNTIF(Funcionarios!$B$2:$B$191,Funcionarios!B40)&gt;0,SUMIFS(Departamentos!$B:$B,Departamentos!$C:$C,Funcionarios!B40)/COUNTIF(Funcionarios!$B$2:$B$191,Funcionarios!B40)*IF(Funcionarios!G40&gt;0,Funcionarios!G40/30,1),0)</f>
        <v>0</v>
      </c>
      <c r="E40" s="5">
        <f>Funcionarios!$F40</f>
        <v>0</v>
      </c>
      <c r="F40" s="5">
        <f>Funcionarios!$E40</f>
        <v>0</v>
      </c>
      <c r="G40" s="5">
        <f t="shared" si="0"/>
        <v>217.89241315555554</v>
      </c>
    </row>
    <row r="41" spans="1:7" x14ac:dyDescent="0.25">
      <c r="A41" t="str">
        <f>Funcionarios!A41</f>
        <v>Pedro Lucas Silva Dos Santos</v>
      </c>
      <c r="B41" t="str">
        <f>Funcionarios!B41</f>
        <v>controle de perdas</v>
      </c>
      <c r="C41" s="5">
        <f>(IF(AND(Funcionarios!D41&gt;=1,COUNTIF(Funcionarios!$D$2:$D$191,"&gt;=1")&gt;0),(Editavel!$B$17-SUM(Departamentos!$B:$B)-SUM(Funcionarios!$F$2:$F$191))*Editavel!$C$25/COUNTIF(Funcionarios!$D$2:$D$191,"&gt;=1"),0)+IF(AND(Funcionarios!D41&gt;=2,COUNTIF(Funcionarios!$D$2:$D$191,"&gt;=2")&gt;0),(Editavel!$B$17-SUM(Departamentos!$B:$B)-SUM(Funcionarios!$F$2:$F$191))*Editavel!$C$26/COUNTIF(Funcionarios!$D$2:$D$191,"&gt;=2"),0)+IF(AND(Funcionarios!D41&gt;=3,COUNTIF(Funcionarios!$D$2:$D$191,"&gt;=3")&gt;0),(Editavel!$B$17-SUM(Departamentos!$B:$B)-SUM(Funcionarios!$F$2:$F$191))*Editavel!$C$27/COUNTIF(Funcionarios!$D$2:$D$191,"&gt;=3"),0)+IF(AND(Funcionarios!D41&gt;=4,COUNTIF(Funcionarios!$D$2:$D$191,"&gt;=4")&gt;0),(Editavel!$B$17-SUM(Departamentos!$B:$B)-SUM(Funcionarios!$F$2:$F$191))*Editavel!$C$28/COUNTIF(Funcionarios!$D$2:$D$191,"&gt;=4"),0)+IF(AND(Funcionarios!D41&gt;=5,COUNTIF(Funcionarios!$D$2:$D$191,"&gt;=5")&gt;0),(Editavel!$B$17-SUM(Departamentos!$B:$B)-SUM(Funcionarios!$F$2:$F$191))*Editavel!$C$29/COUNTIF(Funcionarios!$D$2:$D$191,"&gt;=5"),0))*IF(Funcionarios!G41&gt;0,Funcionarios!G41/30,1)</f>
        <v>217.89241315555554</v>
      </c>
      <c r="D41" s="5">
        <f>IF(COUNTIF(Funcionarios!$B$2:$B$191,Funcionarios!B41)&gt;0,SUMIFS(Departamentos!$B:$B,Departamentos!$C:$C,Funcionarios!B41)/COUNTIF(Funcionarios!$B$2:$B$191,Funcionarios!B41)*IF(Funcionarios!G41&gt;0,Funcionarios!G41/30,1),0)</f>
        <v>0</v>
      </c>
      <c r="E41" s="5">
        <f>Funcionarios!$F41</f>
        <v>0</v>
      </c>
      <c r="F41" s="5">
        <f>Funcionarios!$E41</f>
        <v>0</v>
      </c>
      <c r="G41" s="5">
        <f t="shared" si="0"/>
        <v>217.89241315555554</v>
      </c>
    </row>
    <row r="42" spans="1:7" x14ac:dyDescent="0.25">
      <c r="A42" t="str">
        <f>Funcionarios!A42</f>
        <v>Priscila Silva Gonçalves</v>
      </c>
      <c r="B42" t="str">
        <f>Funcionarios!B42</f>
        <v>recepção</v>
      </c>
      <c r="C42" s="5">
        <f>(IF(AND(Funcionarios!D42&gt;=1,COUNTIF(Funcionarios!$D$2:$D$191,"&gt;=1")&gt;0),(Editavel!$B$17-SUM(Departamentos!$B:$B)-SUM(Funcionarios!$F$2:$F$191))*Editavel!$C$25/COUNTIF(Funcionarios!$D$2:$D$191,"&gt;=1"),0)+IF(AND(Funcionarios!D42&gt;=2,COUNTIF(Funcionarios!$D$2:$D$191,"&gt;=2")&gt;0),(Editavel!$B$17-SUM(Departamentos!$B:$B)-SUM(Funcionarios!$F$2:$F$191))*Editavel!$C$26/COUNTIF(Funcionarios!$D$2:$D$191,"&gt;=2"),0)+IF(AND(Funcionarios!D42&gt;=3,COUNTIF(Funcionarios!$D$2:$D$191,"&gt;=3")&gt;0),(Editavel!$B$17-SUM(Departamentos!$B:$B)-SUM(Funcionarios!$F$2:$F$191))*Editavel!$C$27/COUNTIF(Funcionarios!$D$2:$D$191,"&gt;=3"),0)+IF(AND(Funcionarios!D42&gt;=4,COUNTIF(Funcionarios!$D$2:$D$191,"&gt;=4")&gt;0),(Editavel!$B$17-SUM(Departamentos!$B:$B)-SUM(Funcionarios!$F$2:$F$191))*Editavel!$C$28/COUNTIF(Funcionarios!$D$2:$D$191,"&gt;=4"),0)+IF(AND(Funcionarios!D42&gt;=5,COUNTIF(Funcionarios!$D$2:$D$191,"&gt;=5")&gt;0),(Editavel!$B$17-SUM(Departamentos!$B:$B)-SUM(Funcionarios!$F$2:$F$191))*Editavel!$C$29/COUNTIF(Funcionarios!$D$2:$D$191,"&gt;=5"),0))*IF(Funcionarios!G42&gt;0,Funcionarios!G42/30,1)</f>
        <v>902.21077322222231</v>
      </c>
      <c r="D42" s="5">
        <f>IF(COUNTIF(Funcionarios!$B$2:$B$191,Funcionarios!B42)&gt;0,SUMIFS(Departamentos!$B:$B,Departamentos!$C:$C,Funcionarios!B42)/COUNTIF(Funcionarios!$B$2:$B$191,Funcionarios!B42)*IF(Funcionarios!G42&gt;0,Funcionarios!G42/30,1),0)</f>
        <v>0</v>
      </c>
      <c r="E42" s="5">
        <f>Funcionarios!$F42</f>
        <v>0</v>
      </c>
      <c r="F42" s="5">
        <f>Funcionarios!$E42</f>
        <v>0</v>
      </c>
      <c r="G42" s="5">
        <f t="shared" si="0"/>
        <v>902.21077322222231</v>
      </c>
    </row>
    <row r="43" spans="1:7" x14ac:dyDescent="0.25">
      <c r="A43" t="str">
        <f>Funcionarios!A43</f>
        <v>Robson Vieira Da Silva</v>
      </c>
      <c r="B43" t="str">
        <f>Funcionarios!B43</f>
        <v>cozinha</v>
      </c>
      <c r="C43" s="5">
        <f>(IF(AND(Funcionarios!D43&gt;=1,COUNTIF(Funcionarios!$D$2:$D$191,"&gt;=1")&gt;0),(Editavel!$B$17-SUM(Departamentos!$B:$B)-SUM(Funcionarios!$F$2:$F$191))*Editavel!$C$25/COUNTIF(Funcionarios!$D$2:$D$191,"&gt;=1"),0)+IF(AND(Funcionarios!D43&gt;=2,COUNTIF(Funcionarios!$D$2:$D$191,"&gt;=2")&gt;0),(Editavel!$B$17-SUM(Departamentos!$B:$B)-SUM(Funcionarios!$F$2:$F$191))*Editavel!$C$26/COUNTIF(Funcionarios!$D$2:$D$191,"&gt;=2"),0)+IF(AND(Funcionarios!D43&gt;=3,COUNTIF(Funcionarios!$D$2:$D$191,"&gt;=3")&gt;0),(Editavel!$B$17-SUM(Departamentos!$B:$B)-SUM(Funcionarios!$F$2:$F$191))*Editavel!$C$27/COUNTIF(Funcionarios!$D$2:$D$191,"&gt;=3"),0)+IF(AND(Funcionarios!D43&gt;=4,COUNTIF(Funcionarios!$D$2:$D$191,"&gt;=4")&gt;0),(Editavel!$B$17-SUM(Departamentos!$B:$B)-SUM(Funcionarios!$F$2:$F$191))*Editavel!$C$28/COUNTIF(Funcionarios!$D$2:$D$191,"&gt;=4"),0)+IF(AND(Funcionarios!D43&gt;=5,COUNTIF(Funcionarios!$D$2:$D$191,"&gt;=5")&gt;0),(Editavel!$B$17-SUM(Departamentos!$B:$B)-SUM(Funcionarios!$F$2:$F$191))*Editavel!$C$29/COUNTIF(Funcionarios!$D$2:$D$191,"&gt;=5"),0))*IF(Funcionarios!G43&gt;0,Funcionarios!G43/30,1)</f>
        <v>554.94473975555559</v>
      </c>
      <c r="D43" s="5">
        <f>IF(COUNTIF(Funcionarios!$B$2:$B$191,Funcionarios!B43)&gt;0,SUMIFS(Departamentos!$B:$B,Departamentos!$C:$C,Funcionarios!B43)/COUNTIF(Funcionarios!$B$2:$B$191,Funcionarios!B43)*IF(Funcionarios!G43&gt;0,Funcionarios!G43/30,1),0)</f>
        <v>0</v>
      </c>
      <c r="E43" s="5">
        <f>Funcionarios!$F43</f>
        <v>0</v>
      </c>
      <c r="F43" s="5">
        <f>Funcionarios!$E43</f>
        <v>0</v>
      </c>
      <c r="G43" s="5">
        <f t="shared" ref="G43:G53" si="3">MAX(C43+D43+E43-F43,0)</f>
        <v>554.94473975555559</v>
      </c>
    </row>
    <row r="44" spans="1:7" x14ac:dyDescent="0.25">
      <c r="A44" t="str">
        <f>Funcionarios!A44</f>
        <v xml:space="preserve">Taciana Maria da Silva </v>
      </c>
      <c r="B44" t="str">
        <f>Funcionarios!B44</f>
        <v>cozinha</v>
      </c>
      <c r="C44" s="5">
        <f>(IF(AND(Funcionarios!D44&gt;=1,COUNTIF(Funcionarios!$D$2:$D$191,"&gt;=1")&gt;0),(Editavel!$B$17-SUM(Departamentos!$B:$B)-SUM(Funcionarios!$F$2:$F$191))*Editavel!$C$25/COUNTIF(Funcionarios!$D$2:$D$191,"&gt;=1"),0)+IF(AND(Funcionarios!D44&gt;=2,COUNTIF(Funcionarios!$D$2:$D$191,"&gt;=2")&gt;0),(Editavel!$B$17-SUM(Departamentos!$B:$B)-SUM(Funcionarios!$F$2:$F$191))*Editavel!$C$26/COUNTIF(Funcionarios!$D$2:$D$191,"&gt;=2"),0)+IF(AND(Funcionarios!D44&gt;=3,COUNTIF(Funcionarios!$D$2:$D$191,"&gt;=3")&gt;0),(Editavel!$B$17-SUM(Departamentos!$B:$B)-SUM(Funcionarios!$F$2:$F$191))*Editavel!$C$27/COUNTIF(Funcionarios!$D$2:$D$191,"&gt;=3"),0)+IF(AND(Funcionarios!D44&gt;=4,COUNTIF(Funcionarios!$D$2:$D$191,"&gt;=4")&gt;0),(Editavel!$B$17-SUM(Departamentos!$B:$B)-SUM(Funcionarios!$F$2:$F$191))*Editavel!$C$28/COUNTIF(Funcionarios!$D$2:$D$191,"&gt;=4"),0)+IF(AND(Funcionarios!D44&gt;=5,COUNTIF(Funcionarios!$D$2:$D$191,"&gt;=5")&gt;0),(Editavel!$B$17-SUM(Departamentos!$B:$B)-SUM(Funcionarios!$F$2:$F$191))*Editavel!$C$29/COUNTIF(Funcionarios!$D$2:$D$191,"&gt;=5"),0))*IF(Funcionarios!G44&gt;0,Funcionarios!G44/30,1)</f>
        <v>217.89241315555554</v>
      </c>
      <c r="D44" s="5">
        <f>IF(COUNTIF(Funcionarios!$B$2:$B$191,Funcionarios!B44)&gt;0,SUMIFS(Departamentos!$B:$B,Departamentos!$C:$C,Funcionarios!B44)/COUNTIF(Funcionarios!$B$2:$B$191,Funcionarios!B44)*IF(Funcionarios!G44&gt;0,Funcionarios!G44/30,1),0)</f>
        <v>0</v>
      </c>
      <c r="E44" s="5">
        <f>Funcionarios!$F44</f>
        <v>0</v>
      </c>
      <c r="F44" s="5">
        <f>Funcionarios!$E44</f>
        <v>0</v>
      </c>
      <c r="G44" s="5">
        <f t="shared" si="3"/>
        <v>217.89241315555554</v>
      </c>
    </row>
    <row r="45" spans="1:7" x14ac:dyDescent="0.25">
      <c r="A45" t="str">
        <f>Funcionarios!A45</f>
        <v>Welington Da Silva Lima</v>
      </c>
      <c r="B45" t="str">
        <f>Funcionarios!B45</f>
        <v>serviço</v>
      </c>
      <c r="C45" s="5">
        <f>(IF(AND(Funcionarios!D45&gt;=1,COUNTIF(Funcionarios!$D$2:$D$191,"&gt;=1")&gt;0),(Editavel!$B$17-SUM(Departamentos!$B:$B)-SUM(Funcionarios!$F$2:$F$191))*Editavel!$C$25/COUNTIF(Funcionarios!$D$2:$D$191,"&gt;=1"),0)+IF(AND(Funcionarios!D45&gt;=2,COUNTIF(Funcionarios!$D$2:$D$191,"&gt;=2")&gt;0),(Editavel!$B$17-SUM(Departamentos!$B:$B)-SUM(Funcionarios!$F$2:$F$191))*Editavel!$C$26/COUNTIF(Funcionarios!$D$2:$D$191,"&gt;=2"),0)+IF(AND(Funcionarios!D45&gt;=3,COUNTIF(Funcionarios!$D$2:$D$191,"&gt;=3")&gt;0),(Editavel!$B$17-SUM(Departamentos!$B:$B)-SUM(Funcionarios!$F$2:$F$191))*Editavel!$C$27/COUNTIF(Funcionarios!$D$2:$D$191,"&gt;=3"),0)+IF(AND(Funcionarios!D45&gt;=4,COUNTIF(Funcionarios!$D$2:$D$191,"&gt;=4")&gt;0),(Editavel!$B$17-SUM(Departamentos!$B:$B)-SUM(Funcionarios!$F$2:$F$191))*Editavel!$C$28/COUNTIF(Funcionarios!$D$2:$D$191,"&gt;=4"),0)+IF(AND(Funcionarios!D45&gt;=5,COUNTIF(Funcionarios!$D$2:$D$191,"&gt;=5")&gt;0),(Editavel!$B$17-SUM(Departamentos!$B:$B)-SUM(Funcionarios!$F$2:$F$191))*Editavel!$C$29/COUNTIF(Funcionarios!$D$2:$D$191,"&gt;=5"),0))*IF(Funcionarios!G45&gt;0,Funcionarios!G45/30,1)</f>
        <v>554.94473975555559</v>
      </c>
      <c r="D45" s="5">
        <f>IF(COUNTIF(Funcionarios!$B$2:$B$191,Funcionarios!B45)&gt;0,SUMIFS(Departamentos!$B:$B,Departamentos!$C:$C,Funcionarios!B45)/COUNTIF(Funcionarios!$B$2:$B$191,Funcionarios!B45)*IF(Funcionarios!G45&gt;0,Funcionarios!G45/30,1),0)</f>
        <v>0</v>
      </c>
      <c r="E45" s="5">
        <f>Funcionarios!$F45</f>
        <v>0</v>
      </c>
      <c r="F45" s="5">
        <f>Funcionarios!$E45</f>
        <v>0</v>
      </c>
      <c r="G45" s="5">
        <f t="shared" si="3"/>
        <v>554.94473975555559</v>
      </c>
    </row>
    <row r="46" spans="1:7" x14ac:dyDescent="0.25">
      <c r="A46" t="str">
        <f>Funcionarios!A46</f>
        <v>Werley Kaia Silvino Alves</v>
      </c>
      <c r="B46" t="str">
        <f>Funcionarios!B46</f>
        <v>serviço</v>
      </c>
      <c r="C46" s="5">
        <f>(IF(AND(Funcionarios!D46&gt;=1,COUNTIF(Funcionarios!$D$2:$D$191,"&gt;=1")&gt;0),(Editavel!$B$17-SUM(Departamentos!$B:$B)-SUM(Funcionarios!$F$2:$F$191))*Editavel!$C$25/COUNTIF(Funcionarios!$D$2:$D$191,"&gt;=1"),0)+IF(AND(Funcionarios!D46&gt;=2,COUNTIF(Funcionarios!$D$2:$D$191,"&gt;=2")&gt;0),(Editavel!$B$17-SUM(Departamentos!$B:$B)-SUM(Funcionarios!$F$2:$F$191))*Editavel!$C$26/COUNTIF(Funcionarios!$D$2:$D$191,"&gt;=2"),0)+IF(AND(Funcionarios!D46&gt;=3,COUNTIF(Funcionarios!$D$2:$D$191,"&gt;=3")&gt;0),(Editavel!$B$17-SUM(Departamentos!$B:$B)-SUM(Funcionarios!$F$2:$F$191))*Editavel!$C$27/COUNTIF(Funcionarios!$D$2:$D$191,"&gt;=3"),0)+IF(AND(Funcionarios!D46&gt;=4,COUNTIF(Funcionarios!$D$2:$D$191,"&gt;=4")&gt;0),(Editavel!$B$17-SUM(Departamentos!$B:$B)-SUM(Funcionarios!$F$2:$F$191))*Editavel!$C$28/COUNTIF(Funcionarios!$D$2:$D$191,"&gt;=4"),0)+IF(AND(Funcionarios!D46&gt;=5,COUNTIF(Funcionarios!$D$2:$D$191,"&gt;=5")&gt;0),(Editavel!$B$17-SUM(Departamentos!$B:$B)-SUM(Funcionarios!$F$2:$F$191))*Editavel!$C$29/COUNTIF(Funcionarios!$D$2:$D$191,"&gt;=5"),0))*IF(Funcionarios!G46&gt;0,Funcionarios!G46/30,1)</f>
        <v>130.73544789333332</v>
      </c>
      <c r="D46" s="5">
        <f>IF(COUNTIF(Funcionarios!$B$2:$B$191,Funcionarios!B46)&gt;0,SUMIFS(Departamentos!$B:$B,Departamentos!$C:$C,Funcionarios!B46)/COUNTIF(Funcionarios!$B$2:$B$191,Funcionarios!B46)*IF(Funcionarios!G46&gt;0,Funcionarios!G46/30,1),0)</f>
        <v>0</v>
      </c>
      <c r="E46" s="5">
        <f>Funcionarios!$F46</f>
        <v>0</v>
      </c>
      <c r="F46" s="5">
        <f>Funcionarios!$E46</f>
        <v>0</v>
      </c>
      <c r="G46" s="5">
        <f t="shared" si="3"/>
        <v>130.73544789333332</v>
      </c>
    </row>
    <row r="47" spans="1:7" x14ac:dyDescent="0.25">
      <c r="A47">
        <f>Funcionarios!A47</f>
        <v>0</v>
      </c>
      <c r="B47">
        <f>Funcionarios!B47</f>
        <v>0</v>
      </c>
      <c r="C47" s="5">
        <f>(IF(AND(Funcionarios!D47&gt;=1,COUNTIF(Funcionarios!$D$2:$D$191,"&gt;=1")&gt;0),(Editavel!$B$17-SUM(Departamentos!$B:$B)-SUM(Funcionarios!$F$2:$F$191))*Editavel!$C$25/COUNTIF(Funcionarios!$D$2:$D$191,"&gt;=1"),0)+IF(AND(Funcionarios!D47&gt;=2,COUNTIF(Funcionarios!$D$2:$D$191,"&gt;=2")&gt;0),(Editavel!$B$17-SUM(Departamentos!$B:$B)-SUM(Funcionarios!$F$2:$F$191))*Editavel!$C$26/COUNTIF(Funcionarios!$D$2:$D$191,"&gt;=2"),0)+IF(AND(Funcionarios!D47&gt;=3,COUNTIF(Funcionarios!$D$2:$D$191,"&gt;=3")&gt;0),(Editavel!$B$17-SUM(Departamentos!$B:$B)-SUM(Funcionarios!$F$2:$F$191))*Editavel!$C$27/COUNTIF(Funcionarios!$D$2:$D$191,"&gt;=3"),0)+IF(AND(Funcionarios!D47&gt;=4,COUNTIF(Funcionarios!$D$2:$D$191,"&gt;=4")&gt;0),(Editavel!$B$17-SUM(Departamentos!$B:$B)-SUM(Funcionarios!$F$2:$F$191))*Editavel!$C$28/COUNTIF(Funcionarios!$D$2:$D$191,"&gt;=4"),0)+IF(AND(Funcionarios!D47&gt;=5,COUNTIF(Funcionarios!$D$2:$D$191,"&gt;=5")&gt;0),(Editavel!$B$17-SUM(Departamentos!$B:$B)-SUM(Funcionarios!$F$2:$F$191))*Editavel!$C$29/COUNTIF(Funcionarios!$D$2:$D$191,"&gt;=5"),0))*IF(Funcionarios!G47&gt;0,Funcionarios!G47/30,1)</f>
        <v>0</v>
      </c>
      <c r="D47" s="5">
        <f>IF(COUNTIF(Funcionarios!$B$2:$B$191,Funcionarios!B47)&gt;0,SUMIFS(Departamentos!$B:$B,Departamentos!$C:$C,Funcionarios!B47)/COUNTIF(Funcionarios!$B$2:$B$191,Funcionarios!B47)*IF(Funcionarios!G47&gt;0,Funcionarios!G47/30,1),0)</f>
        <v>0</v>
      </c>
      <c r="E47" s="5">
        <f>Funcionarios!$F47</f>
        <v>0</v>
      </c>
      <c r="F47" s="5">
        <f>Funcionarios!$E47</f>
        <v>0</v>
      </c>
      <c r="G47" s="5">
        <f t="shared" si="3"/>
        <v>0</v>
      </c>
    </row>
    <row r="48" spans="1:7" x14ac:dyDescent="0.25">
      <c r="A48">
        <f>Funcionarios!A48</f>
        <v>0</v>
      </c>
      <c r="B48">
        <f>Funcionarios!B48</f>
        <v>0</v>
      </c>
      <c r="C48" s="5">
        <f>(IF(AND(Funcionarios!D48&gt;=1,COUNTIF(Funcionarios!$D$2:$D$191,"&gt;=1")&gt;0),(Editavel!$B$17-SUM(Departamentos!$B:$B)-SUM(Funcionarios!$F$2:$F$191))*Editavel!$C$25/COUNTIF(Funcionarios!$D$2:$D$191,"&gt;=1"),0)+IF(AND(Funcionarios!D48&gt;=2,COUNTIF(Funcionarios!$D$2:$D$191,"&gt;=2")&gt;0),(Editavel!$B$17-SUM(Departamentos!$B:$B)-SUM(Funcionarios!$F$2:$F$191))*Editavel!$C$26/COUNTIF(Funcionarios!$D$2:$D$191,"&gt;=2"),0)+IF(AND(Funcionarios!D48&gt;=3,COUNTIF(Funcionarios!$D$2:$D$191,"&gt;=3")&gt;0),(Editavel!$B$17-SUM(Departamentos!$B:$B)-SUM(Funcionarios!$F$2:$F$191))*Editavel!$C$27/COUNTIF(Funcionarios!$D$2:$D$191,"&gt;=3"),0)+IF(AND(Funcionarios!D48&gt;=4,COUNTIF(Funcionarios!$D$2:$D$191,"&gt;=4")&gt;0),(Editavel!$B$17-SUM(Departamentos!$B:$B)-SUM(Funcionarios!$F$2:$F$191))*Editavel!$C$28/COUNTIF(Funcionarios!$D$2:$D$191,"&gt;=4"),0)+IF(AND(Funcionarios!D48&gt;=5,COUNTIF(Funcionarios!$D$2:$D$191,"&gt;=5")&gt;0),(Editavel!$B$17-SUM(Departamentos!$B:$B)-SUM(Funcionarios!$F$2:$F$191))*Editavel!$C$29/COUNTIF(Funcionarios!$D$2:$D$191,"&gt;=5"),0))*IF(Funcionarios!G48&gt;0,Funcionarios!G48/30,1)</f>
        <v>0</v>
      </c>
      <c r="D48" s="5">
        <f>IF(COUNTIF(Funcionarios!$B$2:$B$191,Funcionarios!B48)&gt;0,SUMIFS(Departamentos!$B:$B,Departamentos!$C:$C,Funcionarios!B48)/COUNTIF(Funcionarios!$B$2:$B$191,Funcionarios!B48)*IF(Funcionarios!G48&gt;0,Funcionarios!G48/30,1),0)</f>
        <v>0</v>
      </c>
      <c r="E48" s="5">
        <f>Funcionarios!$F48</f>
        <v>0</v>
      </c>
      <c r="F48" s="5">
        <f>Funcionarios!$E48</f>
        <v>0</v>
      </c>
      <c r="G48" s="5">
        <f t="shared" si="3"/>
        <v>0</v>
      </c>
    </row>
    <row r="49" spans="1:7" x14ac:dyDescent="0.25">
      <c r="A49">
        <f>Funcionarios!A49</f>
        <v>0</v>
      </c>
      <c r="B49">
        <f>Funcionarios!B49</f>
        <v>0</v>
      </c>
      <c r="C49" s="5">
        <f>(IF(AND(Funcionarios!D49&gt;=1,COUNTIF(Funcionarios!$D$2:$D$191,"&gt;=1")&gt;0),(Editavel!$B$17-SUM(Departamentos!$B:$B)-SUM(Funcionarios!$F$2:$F$191))*Editavel!$C$25/COUNTIF(Funcionarios!$D$2:$D$191,"&gt;=1"),0)+IF(AND(Funcionarios!D49&gt;=2,COUNTIF(Funcionarios!$D$2:$D$191,"&gt;=2")&gt;0),(Editavel!$B$17-SUM(Departamentos!$B:$B)-SUM(Funcionarios!$F$2:$F$191))*Editavel!$C$26/COUNTIF(Funcionarios!$D$2:$D$191,"&gt;=2"),0)+IF(AND(Funcionarios!D49&gt;=3,COUNTIF(Funcionarios!$D$2:$D$191,"&gt;=3")&gt;0),(Editavel!$B$17-SUM(Departamentos!$B:$B)-SUM(Funcionarios!$F$2:$F$191))*Editavel!$C$27/COUNTIF(Funcionarios!$D$2:$D$191,"&gt;=3"),0)+IF(AND(Funcionarios!D49&gt;=4,COUNTIF(Funcionarios!$D$2:$D$191,"&gt;=4")&gt;0),(Editavel!$B$17-SUM(Departamentos!$B:$B)-SUM(Funcionarios!$F$2:$F$191))*Editavel!$C$28/COUNTIF(Funcionarios!$D$2:$D$191,"&gt;=4"),0)+IF(AND(Funcionarios!D49&gt;=5,COUNTIF(Funcionarios!$D$2:$D$191,"&gt;=5")&gt;0),(Editavel!$B$17-SUM(Departamentos!$B:$B)-SUM(Funcionarios!$F$2:$F$191))*Editavel!$C$29/COUNTIF(Funcionarios!$D$2:$D$191,"&gt;=5"),0))*IF(Funcionarios!G49&gt;0,Funcionarios!G49/30,1)</f>
        <v>0</v>
      </c>
      <c r="D49" s="5">
        <f>IF(COUNTIF(Funcionarios!$B$2:$B$191,Funcionarios!B49)&gt;0,SUMIFS(Departamentos!$B:$B,Departamentos!$C:$C,Funcionarios!B49)/COUNTIF(Funcionarios!$B$2:$B$191,Funcionarios!B49)*IF(Funcionarios!G49&gt;0,Funcionarios!G49/30,1),0)</f>
        <v>0</v>
      </c>
      <c r="E49" s="5">
        <f>Funcionarios!$F49</f>
        <v>0</v>
      </c>
      <c r="F49" s="5">
        <f>Funcionarios!$E49</f>
        <v>0</v>
      </c>
      <c r="G49" s="5">
        <f t="shared" si="3"/>
        <v>0</v>
      </c>
    </row>
    <row r="50" spans="1:7" x14ac:dyDescent="0.25">
      <c r="A50">
        <f>Funcionarios!A50</f>
        <v>0</v>
      </c>
      <c r="B50">
        <f>Funcionarios!B50</f>
        <v>0</v>
      </c>
      <c r="C50" s="5">
        <f>(IF(AND(Funcionarios!D50&gt;=1,COUNTIF(Funcionarios!$D$2:$D$191,"&gt;=1")&gt;0),(Editavel!$B$17-SUM(Departamentos!$B:$B)-SUM(Funcionarios!$F$2:$F$191))*Editavel!$C$25/COUNTIF(Funcionarios!$D$2:$D$191,"&gt;=1"),0)+IF(AND(Funcionarios!D50&gt;=2,COUNTIF(Funcionarios!$D$2:$D$191,"&gt;=2")&gt;0),(Editavel!$B$17-SUM(Departamentos!$B:$B)-SUM(Funcionarios!$F$2:$F$191))*Editavel!$C$26/COUNTIF(Funcionarios!$D$2:$D$191,"&gt;=2"),0)+IF(AND(Funcionarios!D50&gt;=3,COUNTIF(Funcionarios!$D$2:$D$191,"&gt;=3")&gt;0),(Editavel!$B$17-SUM(Departamentos!$B:$B)-SUM(Funcionarios!$F$2:$F$191))*Editavel!$C$27/COUNTIF(Funcionarios!$D$2:$D$191,"&gt;=3"),0)+IF(AND(Funcionarios!D50&gt;=4,COUNTIF(Funcionarios!$D$2:$D$191,"&gt;=4")&gt;0),(Editavel!$B$17-SUM(Departamentos!$B:$B)-SUM(Funcionarios!$F$2:$F$191))*Editavel!$C$28/COUNTIF(Funcionarios!$D$2:$D$191,"&gt;=4"),0)+IF(AND(Funcionarios!D50&gt;=5,COUNTIF(Funcionarios!$D$2:$D$191,"&gt;=5")&gt;0),(Editavel!$B$17-SUM(Departamentos!$B:$B)-SUM(Funcionarios!$F$2:$F$191))*Editavel!$C$29/COUNTIF(Funcionarios!$D$2:$D$191,"&gt;=5"),0))*IF(Funcionarios!G50&gt;0,Funcionarios!G50/30,1)</f>
        <v>0</v>
      </c>
      <c r="D50" s="5">
        <f>IF(COUNTIF(Funcionarios!$B$2:$B$191,Funcionarios!B50)&gt;0,SUMIFS(Departamentos!$B:$B,Departamentos!$C:$C,Funcionarios!B50)/COUNTIF(Funcionarios!$B$2:$B$191,Funcionarios!B50)*IF(Funcionarios!G50&gt;0,Funcionarios!G50/30,1),0)</f>
        <v>0</v>
      </c>
      <c r="E50" s="5">
        <f>Funcionarios!$F50</f>
        <v>0</v>
      </c>
      <c r="F50" s="5">
        <f>Funcionarios!$E50</f>
        <v>0</v>
      </c>
      <c r="G50" s="5">
        <f t="shared" si="3"/>
        <v>0</v>
      </c>
    </row>
    <row r="51" spans="1:7" x14ac:dyDescent="0.25">
      <c r="A51">
        <f>Funcionarios!A51</f>
        <v>0</v>
      </c>
      <c r="B51">
        <f>Funcionarios!B51</f>
        <v>0</v>
      </c>
      <c r="C51" s="5">
        <f>(IF(AND(Funcionarios!D51&gt;=1,COUNTIF(Funcionarios!$D$2:$D$191,"&gt;=1")&gt;0),(Editavel!$B$17-SUM(Departamentos!$B:$B)-SUM(Funcionarios!$F$2:$F$191))*Editavel!$C$25/COUNTIF(Funcionarios!$D$2:$D$191,"&gt;=1"),0)+IF(AND(Funcionarios!D51&gt;=2,COUNTIF(Funcionarios!$D$2:$D$191,"&gt;=2")&gt;0),(Editavel!$B$17-SUM(Departamentos!$B:$B)-SUM(Funcionarios!$F$2:$F$191))*Editavel!$C$26/COUNTIF(Funcionarios!$D$2:$D$191,"&gt;=2"),0)+IF(AND(Funcionarios!D51&gt;=3,COUNTIF(Funcionarios!$D$2:$D$191,"&gt;=3")&gt;0),(Editavel!$B$17-SUM(Departamentos!$B:$B)-SUM(Funcionarios!$F$2:$F$191))*Editavel!$C$27/COUNTIF(Funcionarios!$D$2:$D$191,"&gt;=3"),0)+IF(AND(Funcionarios!D51&gt;=4,COUNTIF(Funcionarios!$D$2:$D$191,"&gt;=4")&gt;0),(Editavel!$B$17-SUM(Departamentos!$B:$B)-SUM(Funcionarios!$F$2:$F$191))*Editavel!$C$28/COUNTIF(Funcionarios!$D$2:$D$191,"&gt;=4"),0)+IF(AND(Funcionarios!D51&gt;=5,COUNTIF(Funcionarios!$D$2:$D$191,"&gt;=5")&gt;0),(Editavel!$B$17-SUM(Departamentos!$B:$B)-SUM(Funcionarios!$F$2:$F$191))*Editavel!$C$29/COUNTIF(Funcionarios!$D$2:$D$191,"&gt;=5"),0))*IF(Funcionarios!G51&gt;0,Funcionarios!G51/30,1)</f>
        <v>0</v>
      </c>
      <c r="D51" s="5">
        <f>IF(COUNTIF(Funcionarios!$B$2:$B$191,Funcionarios!B51)&gt;0,SUMIFS(Departamentos!$B:$B,Departamentos!$C:$C,Funcionarios!B51)/COUNTIF(Funcionarios!$B$2:$B$191,Funcionarios!B51)*IF(Funcionarios!G51&gt;0,Funcionarios!G51/30,1),0)</f>
        <v>0</v>
      </c>
      <c r="E51" s="5">
        <f>Funcionarios!$F51</f>
        <v>0</v>
      </c>
      <c r="F51" s="5">
        <f>Funcionarios!$E51</f>
        <v>0</v>
      </c>
      <c r="G51" s="5">
        <f t="shared" si="3"/>
        <v>0</v>
      </c>
    </row>
    <row r="52" spans="1:7" x14ac:dyDescent="0.25">
      <c r="A52">
        <f>Funcionarios!A52</f>
        <v>0</v>
      </c>
      <c r="B52">
        <f>Funcionarios!B52</f>
        <v>0</v>
      </c>
      <c r="C52" s="5">
        <f>(IF(AND(Funcionarios!D52&gt;=1,COUNTIF(Funcionarios!$D$2:$D$191,"&gt;=1")&gt;0),(Editavel!$B$17-SUM(Departamentos!$B:$B)-SUM(Funcionarios!$F$2:$F$191))*Editavel!$C$25/COUNTIF(Funcionarios!$D$2:$D$191,"&gt;=1"),0)+IF(AND(Funcionarios!D52&gt;=2,COUNTIF(Funcionarios!$D$2:$D$191,"&gt;=2")&gt;0),(Editavel!$B$17-SUM(Departamentos!$B:$B)-SUM(Funcionarios!$F$2:$F$191))*Editavel!$C$26/COUNTIF(Funcionarios!$D$2:$D$191,"&gt;=2"),0)+IF(AND(Funcionarios!D52&gt;=3,COUNTIF(Funcionarios!$D$2:$D$191,"&gt;=3")&gt;0),(Editavel!$B$17-SUM(Departamentos!$B:$B)-SUM(Funcionarios!$F$2:$F$191))*Editavel!$C$27/COUNTIF(Funcionarios!$D$2:$D$191,"&gt;=3"),0)+IF(AND(Funcionarios!D52&gt;=4,COUNTIF(Funcionarios!$D$2:$D$191,"&gt;=4")&gt;0),(Editavel!$B$17-SUM(Departamentos!$B:$B)-SUM(Funcionarios!$F$2:$F$191))*Editavel!$C$28/COUNTIF(Funcionarios!$D$2:$D$191,"&gt;=4"),0)+IF(AND(Funcionarios!D52&gt;=5,COUNTIF(Funcionarios!$D$2:$D$191,"&gt;=5")&gt;0),(Editavel!$B$17-SUM(Departamentos!$B:$B)-SUM(Funcionarios!$F$2:$F$191))*Editavel!$C$29/COUNTIF(Funcionarios!$D$2:$D$191,"&gt;=5"),0))*IF(Funcionarios!G52&gt;0,Funcionarios!G52/30,1)</f>
        <v>0</v>
      </c>
      <c r="D52" s="5">
        <f>IF(COUNTIF(Funcionarios!$B$2:$B$191,Funcionarios!B52)&gt;0,SUMIFS(Departamentos!$B:$B,Departamentos!$C:$C,Funcionarios!B52)/COUNTIF(Funcionarios!$B$2:$B$191,Funcionarios!B52)*IF(Funcionarios!G52&gt;0,Funcionarios!G52/30,1),0)</f>
        <v>0</v>
      </c>
      <c r="E52" s="5">
        <f>Funcionarios!$F52</f>
        <v>0</v>
      </c>
      <c r="F52" s="5">
        <f>Funcionarios!$E52</f>
        <v>0</v>
      </c>
      <c r="G52" s="5">
        <f t="shared" si="3"/>
        <v>0</v>
      </c>
    </row>
    <row r="53" spans="1:7" x14ac:dyDescent="0.25">
      <c r="A53">
        <f>Funcionarios!A53</f>
        <v>0</v>
      </c>
      <c r="B53">
        <f>Funcionarios!B53</f>
        <v>0</v>
      </c>
      <c r="C53" s="5">
        <f>(IF(AND(Funcionarios!D53&gt;=1,COUNTIF(Funcionarios!$D$2:$D$191,"&gt;=1")&gt;0),(Editavel!$B$17-SUM(Departamentos!$B:$B)-SUM(Funcionarios!$F$2:$F$191))*Editavel!$C$25/COUNTIF(Funcionarios!$D$2:$D$191,"&gt;=1"),0)+IF(AND(Funcionarios!D53&gt;=2,COUNTIF(Funcionarios!$D$2:$D$191,"&gt;=2")&gt;0),(Editavel!$B$17-SUM(Departamentos!$B:$B)-SUM(Funcionarios!$F$2:$F$191))*Editavel!$C$26/COUNTIF(Funcionarios!$D$2:$D$191,"&gt;=2"),0)+IF(AND(Funcionarios!D53&gt;=3,COUNTIF(Funcionarios!$D$2:$D$191,"&gt;=3")&gt;0),(Editavel!$B$17-SUM(Departamentos!$B:$B)-SUM(Funcionarios!$F$2:$F$191))*Editavel!$C$27/COUNTIF(Funcionarios!$D$2:$D$191,"&gt;=3"),0)+IF(AND(Funcionarios!D53&gt;=4,COUNTIF(Funcionarios!$D$2:$D$191,"&gt;=4")&gt;0),(Editavel!$B$17-SUM(Departamentos!$B:$B)-SUM(Funcionarios!$F$2:$F$191))*Editavel!$C$28/COUNTIF(Funcionarios!$D$2:$D$191,"&gt;=4"),0)+IF(AND(Funcionarios!D53&gt;=5,COUNTIF(Funcionarios!$D$2:$D$191,"&gt;=5")&gt;0),(Editavel!$B$17-SUM(Departamentos!$B:$B)-SUM(Funcionarios!$F$2:$F$191))*Editavel!$C$29/COUNTIF(Funcionarios!$D$2:$D$191,"&gt;=5"),0))*IF(Funcionarios!G53&gt;0,Funcionarios!G53/30,1)</f>
        <v>0</v>
      </c>
      <c r="D53" s="5">
        <f>IF(COUNTIF(Funcionarios!$B$2:$B$191,Funcionarios!B53)&gt;0,SUMIFS(Departamentos!$B:$B,Departamentos!$C:$C,Funcionarios!B53)/COUNTIF(Funcionarios!$B$2:$B$191,Funcionarios!B53)*IF(Funcionarios!G53&gt;0,Funcionarios!G53/30,1),0)</f>
        <v>0</v>
      </c>
      <c r="E53" s="5">
        <f>Funcionarios!$F53</f>
        <v>0</v>
      </c>
      <c r="F53" s="5">
        <f>Funcionarios!$E53</f>
        <v>0</v>
      </c>
      <c r="G53" s="5">
        <f t="shared" si="3"/>
        <v>0</v>
      </c>
    </row>
    <row r="54" spans="1:7" x14ac:dyDescent="0.25">
      <c r="A54">
        <f>Funcionarios!A54</f>
        <v>0</v>
      </c>
      <c r="B54">
        <f>Funcionarios!B54</f>
        <v>0</v>
      </c>
      <c r="C54" s="5">
        <f>(IF(AND(Funcionarios!D54&gt;=1,COUNTIF(Funcionarios!$D$2:$D$191,"&gt;=1")&gt;0),(Editavel!$B$17-SUM(Departamentos!$B:$B)-SUM(Funcionarios!$F$2:$F$191))*Editavel!$C$25/COUNTIF(Funcionarios!$D$2:$D$191,"&gt;=1"),0)+IF(AND(Funcionarios!D54&gt;=2,COUNTIF(Funcionarios!$D$2:$D$191,"&gt;=2")&gt;0),(Editavel!$B$17-SUM(Departamentos!$B:$B)-SUM(Funcionarios!$F$2:$F$191))*Editavel!$C$26/COUNTIF(Funcionarios!$D$2:$D$191,"&gt;=2"),0)+IF(AND(Funcionarios!D54&gt;=3,COUNTIF(Funcionarios!$D$2:$D$191,"&gt;=3")&gt;0),(Editavel!$B$17-SUM(Departamentos!$B:$B)-SUM(Funcionarios!$F$2:$F$191))*Editavel!$C$27/COUNTIF(Funcionarios!$D$2:$D$191,"&gt;=3"),0)+IF(AND(Funcionarios!D54&gt;=4,COUNTIF(Funcionarios!$D$2:$D$191,"&gt;=4")&gt;0),(Editavel!$B$17-SUM(Departamentos!$B:$B)-SUM(Funcionarios!$F$2:$F$191))*Editavel!$C$28/COUNTIF(Funcionarios!$D$2:$D$191,"&gt;=4"),0)+IF(AND(Funcionarios!D54&gt;=5,COUNTIF(Funcionarios!$D$2:$D$191,"&gt;=5")&gt;0),(Editavel!$B$17-SUM(Departamentos!$B:$B)-SUM(Funcionarios!$F$2:$F$191))*Editavel!$C$29/COUNTIF(Funcionarios!$D$2:$D$191,"&gt;=5"),0))*IF(Funcionarios!G54&gt;0,Funcionarios!G54/30,1)</f>
        <v>0</v>
      </c>
      <c r="D54" s="5">
        <f>IF(COUNTIF(Funcionarios!$B$2:$B$191,Funcionarios!B54)&gt;0,SUMIFS(Departamentos!$B:$B,Departamentos!$C:$C,Funcionarios!B54)/COUNTIF(Funcionarios!$B$2:$B$191,Funcionarios!B54)*IF(Funcionarios!G54&gt;0,Funcionarios!G54/30,1),0)</f>
        <v>0</v>
      </c>
      <c r="E54" s="5">
        <f>Funcionarios!$F54</f>
        <v>0</v>
      </c>
      <c r="F54" s="5">
        <f>Funcionarios!$E54</f>
        <v>0</v>
      </c>
      <c r="G54" s="5">
        <f t="shared" ref="G54:G56" si="4">MAX(C54+D54+E54-F54,0)</f>
        <v>0</v>
      </c>
    </row>
    <row r="55" spans="1:7" x14ac:dyDescent="0.25">
      <c r="A55">
        <f>Funcionarios!A55</f>
        <v>0</v>
      </c>
      <c r="B55">
        <f>Funcionarios!B55</f>
        <v>0</v>
      </c>
      <c r="C55" s="5">
        <f>(IF(AND(Funcionarios!D55&gt;=1,COUNTIF(Funcionarios!$D$2:$D$191,"&gt;=1")&gt;0),(Editavel!$B$17-SUM(Departamentos!$B:$B)-SUM(Funcionarios!$F$2:$F$191))*Editavel!$C$25/COUNTIF(Funcionarios!$D$2:$D$191,"&gt;=1"),0)+IF(AND(Funcionarios!D55&gt;=2,COUNTIF(Funcionarios!$D$2:$D$191,"&gt;=2")&gt;0),(Editavel!$B$17-SUM(Departamentos!$B:$B)-SUM(Funcionarios!$F$2:$F$191))*Editavel!$C$26/COUNTIF(Funcionarios!$D$2:$D$191,"&gt;=2"),0)+IF(AND(Funcionarios!D55&gt;=3,COUNTIF(Funcionarios!$D$2:$D$191,"&gt;=3")&gt;0),(Editavel!$B$17-SUM(Departamentos!$B:$B)-SUM(Funcionarios!$F$2:$F$191))*Editavel!$C$27/COUNTIF(Funcionarios!$D$2:$D$191,"&gt;=3"),0)+IF(AND(Funcionarios!D55&gt;=4,COUNTIF(Funcionarios!$D$2:$D$191,"&gt;=4")&gt;0),(Editavel!$B$17-SUM(Departamentos!$B:$B)-SUM(Funcionarios!$F$2:$F$191))*Editavel!$C$28/COUNTIF(Funcionarios!$D$2:$D$191,"&gt;=4"),0)+IF(AND(Funcionarios!D55&gt;=5,COUNTIF(Funcionarios!$D$2:$D$191,"&gt;=5")&gt;0),(Editavel!$B$17-SUM(Departamentos!$B:$B)-SUM(Funcionarios!$F$2:$F$191))*Editavel!$C$29/COUNTIF(Funcionarios!$D$2:$D$191,"&gt;=5"),0))*IF(Funcionarios!G55&gt;0,Funcionarios!G55/30,1)</f>
        <v>0</v>
      </c>
      <c r="D55" s="5">
        <f>IF(COUNTIF(Funcionarios!$B$2:$B$191,Funcionarios!B55)&gt;0,SUMIFS(Departamentos!$B:$B,Departamentos!$C:$C,Funcionarios!B55)/COUNTIF(Funcionarios!$B$2:$B$191,Funcionarios!B55)*IF(Funcionarios!G55&gt;0,Funcionarios!G55/30,1),0)</f>
        <v>0</v>
      </c>
      <c r="E55" s="5">
        <f>Funcionarios!$F55</f>
        <v>0</v>
      </c>
      <c r="F55" s="5">
        <f>Funcionarios!$E55</f>
        <v>0</v>
      </c>
      <c r="G55" s="5">
        <f t="shared" si="4"/>
        <v>0</v>
      </c>
    </row>
    <row r="56" spans="1:7" x14ac:dyDescent="0.25">
      <c r="A56">
        <f>Funcionarios!A56</f>
        <v>0</v>
      </c>
      <c r="B56">
        <f>Funcionarios!B56</f>
        <v>0</v>
      </c>
      <c r="C56" s="5">
        <f>(IF(AND(Funcionarios!D56&gt;=1,COUNTIF(Funcionarios!$D$2:$D$191,"&gt;=1")&gt;0),(Editavel!$B$17-SUM(Departamentos!$B:$B)-SUM(Funcionarios!$F$2:$F$191))*Editavel!$C$25/COUNTIF(Funcionarios!$D$2:$D$191,"&gt;=1"),0)+IF(AND(Funcionarios!D56&gt;=2,COUNTIF(Funcionarios!$D$2:$D$191,"&gt;=2")&gt;0),(Editavel!$B$17-SUM(Departamentos!$B:$B)-SUM(Funcionarios!$F$2:$F$191))*Editavel!$C$26/COUNTIF(Funcionarios!$D$2:$D$191,"&gt;=2"),0)+IF(AND(Funcionarios!D56&gt;=3,COUNTIF(Funcionarios!$D$2:$D$191,"&gt;=3")&gt;0),(Editavel!$B$17-SUM(Departamentos!$B:$B)-SUM(Funcionarios!$F$2:$F$191))*Editavel!$C$27/COUNTIF(Funcionarios!$D$2:$D$191,"&gt;=3"),0)+IF(AND(Funcionarios!D56&gt;=4,COUNTIF(Funcionarios!$D$2:$D$191,"&gt;=4")&gt;0),(Editavel!$B$17-SUM(Departamentos!$B:$B)-SUM(Funcionarios!$F$2:$F$191))*Editavel!$C$28/COUNTIF(Funcionarios!$D$2:$D$191,"&gt;=4"),0)+IF(AND(Funcionarios!D56&gt;=5,COUNTIF(Funcionarios!$D$2:$D$191,"&gt;=5")&gt;0),(Editavel!$B$17-SUM(Departamentos!$B:$B)-SUM(Funcionarios!$F$2:$F$191))*Editavel!$C$29/COUNTIF(Funcionarios!$D$2:$D$191,"&gt;=5"),0))*IF(Funcionarios!G56&gt;0,Funcionarios!G56/30,1)</f>
        <v>0</v>
      </c>
      <c r="D56" s="5">
        <f>IF(COUNTIF(Funcionarios!$B$2:$B$191,Funcionarios!B56)&gt;0,SUMIFS(Departamentos!$B:$B,Departamentos!$C:$C,Funcionarios!B56)/COUNTIF(Funcionarios!$B$2:$B$191,Funcionarios!B56)*IF(Funcionarios!G56&gt;0,Funcionarios!G56/30,1),0)</f>
        <v>0</v>
      </c>
      <c r="E56" s="5">
        <f>Funcionarios!$F56</f>
        <v>0</v>
      </c>
      <c r="F56" s="5">
        <f>Funcionarios!$E56</f>
        <v>0</v>
      </c>
      <c r="G56" s="5">
        <f t="shared" si="4"/>
        <v>0</v>
      </c>
    </row>
    <row r="57" spans="1:7" x14ac:dyDescent="0.25">
      <c r="A57">
        <f>Funcionarios!A47</f>
        <v>0</v>
      </c>
      <c r="B57">
        <f>Funcionarios!B47</f>
        <v>0</v>
      </c>
      <c r="C57" s="5">
        <f>(IF(AND(Funcionarios!D47&gt;=1,COUNTIF(Funcionarios!$D$2:$D$191,"&gt;=1")&gt;0),(Editavel!$B$17-SUM(Departamentos!$B:$B)-SUM(Funcionarios!$F$2:$F$191))*Editavel!$C$25/COUNTIF(Funcionarios!$D$2:$D$191,"&gt;=1"),0)+IF(AND(Funcionarios!D47&gt;=2,COUNTIF(Funcionarios!$D$2:$D$191,"&gt;=2")&gt;0),(Editavel!$B$17-SUM(Departamentos!$B:$B)-SUM(Funcionarios!$F$2:$F$191))*Editavel!$C$26/COUNTIF(Funcionarios!$D$2:$D$191,"&gt;=2"),0)+IF(AND(Funcionarios!D47&gt;=3,COUNTIF(Funcionarios!$D$2:$D$191,"&gt;=3")&gt;0),(Editavel!$B$17-SUM(Departamentos!$B:$B)-SUM(Funcionarios!$F$2:$F$191))*Editavel!$C$27/COUNTIF(Funcionarios!$D$2:$D$191,"&gt;=3"),0)+IF(AND(Funcionarios!D47&gt;=4,COUNTIF(Funcionarios!$D$2:$D$191,"&gt;=4")&gt;0),(Editavel!$B$17-SUM(Departamentos!$B:$B)-SUM(Funcionarios!$F$2:$F$191))*Editavel!$C$28/COUNTIF(Funcionarios!$D$2:$D$191,"&gt;=4"),0)+IF(AND(Funcionarios!D47&gt;=5,COUNTIF(Funcionarios!$D$2:$D$191,"&gt;=5")&gt;0),(Editavel!$B$17-SUM(Departamentos!$B:$B)-SUM(Funcionarios!$F$2:$F$191))*Editavel!$C$29/COUNTIF(Funcionarios!$D$2:$D$191,"&gt;=5"),0))*IF(Funcionarios!G47&gt;0,Funcionarios!G47/30,1)</f>
        <v>0</v>
      </c>
      <c r="D57" s="5">
        <f>IF(COUNTIF(Funcionarios!$B$2:$B$191,Funcionarios!B47)&gt;0,SUMIFS(Departamentos!$B:$B,Departamentos!$C:$C,Funcionarios!B47)/COUNTIF(Funcionarios!$B$2:$B$191,Funcionarios!B47)*IF(Funcionarios!G47&gt;0,Funcionarios!G47/30,1),0)</f>
        <v>0</v>
      </c>
      <c r="E57" s="5">
        <f>Funcionarios!$F47</f>
        <v>0</v>
      </c>
      <c r="F57" s="5">
        <f>Funcionarios!$E47</f>
        <v>0</v>
      </c>
      <c r="G57" s="5">
        <f t="shared" si="0"/>
        <v>0</v>
      </c>
    </row>
    <row r="58" spans="1:7" x14ac:dyDescent="0.25">
      <c r="A58">
        <f>Funcionarios!A48</f>
        <v>0</v>
      </c>
      <c r="B58">
        <f>Funcionarios!B48</f>
        <v>0</v>
      </c>
      <c r="C58" s="5">
        <f>(IF(AND(Funcionarios!D48&gt;=1,COUNTIF(Funcionarios!$D$2:$D$191,"&gt;=1")&gt;0),(Editavel!$B$17-SUM(Departamentos!$B:$B)-SUM(Funcionarios!$F$2:$F$191))*Editavel!$C$25/COUNTIF(Funcionarios!$D$2:$D$191,"&gt;=1"),0)+IF(AND(Funcionarios!D48&gt;=2,COUNTIF(Funcionarios!$D$2:$D$191,"&gt;=2")&gt;0),(Editavel!$B$17-SUM(Departamentos!$B:$B)-SUM(Funcionarios!$F$2:$F$191))*Editavel!$C$26/COUNTIF(Funcionarios!$D$2:$D$191,"&gt;=2"),0)+IF(AND(Funcionarios!D48&gt;=3,COUNTIF(Funcionarios!$D$2:$D$191,"&gt;=3")&gt;0),(Editavel!$B$17-SUM(Departamentos!$B:$B)-SUM(Funcionarios!$F$2:$F$191))*Editavel!$C$27/COUNTIF(Funcionarios!$D$2:$D$191,"&gt;=3"),0)+IF(AND(Funcionarios!D48&gt;=4,COUNTIF(Funcionarios!$D$2:$D$191,"&gt;=4")&gt;0),(Editavel!$B$17-SUM(Departamentos!$B:$B)-SUM(Funcionarios!$F$2:$F$191))*Editavel!$C$28/COUNTIF(Funcionarios!$D$2:$D$191,"&gt;=4"),0)+IF(AND(Funcionarios!D48&gt;=5,COUNTIF(Funcionarios!$D$2:$D$191,"&gt;=5")&gt;0),(Editavel!$B$17-SUM(Departamentos!$B:$B)-SUM(Funcionarios!$F$2:$F$191))*Editavel!$C$29/COUNTIF(Funcionarios!$D$2:$D$191,"&gt;=5"),0))*IF(Funcionarios!G48&gt;0,Funcionarios!G48/30,1)</f>
        <v>0</v>
      </c>
      <c r="D58" s="5">
        <f>IF(COUNTIF(Funcionarios!$B$2:$B$191,Funcionarios!B48)&gt;0,SUMIFS(Departamentos!$B:$B,Departamentos!$C:$C,Funcionarios!B48)/COUNTIF(Funcionarios!$B$2:$B$191,Funcionarios!B48)*IF(Funcionarios!G48&gt;0,Funcionarios!G48/30,1),0)</f>
        <v>0</v>
      </c>
      <c r="E58" s="5">
        <f>Funcionarios!$F48</f>
        <v>0</v>
      </c>
      <c r="F58" s="5">
        <f>Funcionarios!$E48</f>
        <v>0</v>
      </c>
      <c r="G58" s="5">
        <f t="shared" si="0"/>
        <v>0</v>
      </c>
    </row>
    <row r="59" spans="1:7" x14ac:dyDescent="0.25">
      <c r="A59">
        <f>Funcionarios!A49</f>
        <v>0</v>
      </c>
      <c r="B59">
        <f>Funcionarios!B49</f>
        <v>0</v>
      </c>
      <c r="C59" s="5">
        <f>(IF(AND(Funcionarios!D49&gt;=1,COUNTIF(Funcionarios!$D$2:$D$191,"&gt;=1")&gt;0),(Editavel!$B$17-SUM(Departamentos!$B:$B)-SUM(Funcionarios!$F$2:$F$191))*Editavel!$C$25/COUNTIF(Funcionarios!$D$2:$D$191,"&gt;=1"),0)+IF(AND(Funcionarios!D49&gt;=2,COUNTIF(Funcionarios!$D$2:$D$191,"&gt;=2")&gt;0),(Editavel!$B$17-SUM(Departamentos!$B:$B)-SUM(Funcionarios!$F$2:$F$191))*Editavel!$C$26/COUNTIF(Funcionarios!$D$2:$D$191,"&gt;=2"),0)+IF(AND(Funcionarios!D49&gt;=3,COUNTIF(Funcionarios!$D$2:$D$191,"&gt;=3")&gt;0),(Editavel!$B$17-SUM(Departamentos!$B:$B)-SUM(Funcionarios!$F$2:$F$191))*Editavel!$C$27/COUNTIF(Funcionarios!$D$2:$D$191,"&gt;=3"),0)+IF(AND(Funcionarios!D49&gt;=4,COUNTIF(Funcionarios!$D$2:$D$191,"&gt;=4")&gt;0),(Editavel!$B$17-SUM(Departamentos!$B:$B)-SUM(Funcionarios!$F$2:$F$191))*Editavel!$C$28/COUNTIF(Funcionarios!$D$2:$D$191,"&gt;=4"),0)+IF(AND(Funcionarios!D49&gt;=5,COUNTIF(Funcionarios!$D$2:$D$191,"&gt;=5")&gt;0),(Editavel!$B$17-SUM(Departamentos!$B:$B)-SUM(Funcionarios!$F$2:$F$191))*Editavel!$C$29/COUNTIF(Funcionarios!$D$2:$D$191,"&gt;=5"),0))*IF(Funcionarios!G49&gt;0,Funcionarios!G49/30,1)</f>
        <v>0</v>
      </c>
      <c r="D59" s="5">
        <f>IF(COUNTIF(Funcionarios!$B$2:$B$191,Funcionarios!B49)&gt;0,SUMIFS(Departamentos!$B:$B,Departamentos!$C:$C,Funcionarios!B49)/COUNTIF(Funcionarios!$B$2:$B$191,Funcionarios!B49)*IF(Funcionarios!G49&gt;0,Funcionarios!G49/30,1),0)</f>
        <v>0</v>
      </c>
      <c r="E59" s="5">
        <f>Funcionarios!$F49</f>
        <v>0</v>
      </c>
      <c r="F59" s="5">
        <f>Funcionarios!$E49</f>
        <v>0</v>
      </c>
      <c r="G59" s="5">
        <f t="shared" si="0"/>
        <v>0</v>
      </c>
    </row>
    <row r="60" spans="1:7" x14ac:dyDescent="0.25">
      <c r="A60">
        <f>Funcionarios!A50</f>
        <v>0</v>
      </c>
      <c r="B60">
        <f>Funcionarios!B50</f>
        <v>0</v>
      </c>
      <c r="C60" s="5">
        <f>(IF(AND(Funcionarios!D50&gt;=1,COUNTIF(Funcionarios!$D$2:$D$191,"&gt;=1")&gt;0),(Editavel!$B$17-SUM(Departamentos!$B:$B)-SUM(Funcionarios!$F$2:$F$191))*Editavel!$C$25/COUNTIF(Funcionarios!$D$2:$D$191,"&gt;=1"),0)+IF(AND(Funcionarios!D50&gt;=2,COUNTIF(Funcionarios!$D$2:$D$191,"&gt;=2")&gt;0),(Editavel!$B$17-SUM(Departamentos!$B:$B)-SUM(Funcionarios!$F$2:$F$191))*Editavel!$C$26/COUNTIF(Funcionarios!$D$2:$D$191,"&gt;=2"),0)+IF(AND(Funcionarios!D50&gt;=3,COUNTIF(Funcionarios!$D$2:$D$191,"&gt;=3")&gt;0),(Editavel!$B$17-SUM(Departamentos!$B:$B)-SUM(Funcionarios!$F$2:$F$191))*Editavel!$C$27/COUNTIF(Funcionarios!$D$2:$D$191,"&gt;=3"),0)+IF(AND(Funcionarios!D50&gt;=4,COUNTIF(Funcionarios!$D$2:$D$191,"&gt;=4")&gt;0),(Editavel!$B$17-SUM(Departamentos!$B:$B)-SUM(Funcionarios!$F$2:$F$191))*Editavel!$C$28/COUNTIF(Funcionarios!$D$2:$D$191,"&gt;=4"),0)+IF(AND(Funcionarios!D50&gt;=5,COUNTIF(Funcionarios!$D$2:$D$191,"&gt;=5")&gt;0),(Editavel!$B$17-SUM(Departamentos!$B:$B)-SUM(Funcionarios!$F$2:$F$191))*Editavel!$C$29/COUNTIF(Funcionarios!$D$2:$D$191,"&gt;=5"),0))*IF(Funcionarios!G50&gt;0,Funcionarios!G50/30,1)</f>
        <v>0</v>
      </c>
      <c r="D60" s="5">
        <f>IF(COUNTIF(Funcionarios!$B$2:$B$191,Funcionarios!B50)&gt;0,SUMIFS(Departamentos!$B:$B,Departamentos!$C:$C,Funcionarios!B50)/COUNTIF(Funcionarios!$B$2:$B$191,Funcionarios!B50)*IF(Funcionarios!G50&gt;0,Funcionarios!G50/30,1),0)</f>
        <v>0</v>
      </c>
      <c r="E60" s="5">
        <f>Funcionarios!$F50</f>
        <v>0</v>
      </c>
      <c r="F60" s="5">
        <f>Funcionarios!$E50</f>
        <v>0</v>
      </c>
      <c r="G60" s="5">
        <f t="shared" si="0"/>
        <v>0</v>
      </c>
    </row>
    <row r="61" spans="1:7" x14ac:dyDescent="0.25">
      <c r="A61">
        <f>Funcionarios!A51</f>
        <v>0</v>
      </c>
      <c r="B61">
        <f>Funcionarios!B51</f>
        <v>0</v>
      </c>
      <c r="C61" s="5">
        <f>(IF(AND(Funcionarios!D51&gt;=1,COUNTIF(Funcionarios!$D$2:$D$191,"&gt;=1")&gt;0),(Editavel!$B$17-SUM(Departamentos!$B:$B)-SUM(Funcionarios!$F$2:$F$191))*Editavel!$C$25/COUNTIF(Funcionarios!$D$2:$D$191,"&gt;=1"),0)+IF(AND(Funcionarios!D51&gt;=2,COUNTIF(Funcionarios!$D$2:$D$191,"&gt;=2")&gt;0),(Editavel!$B$17-SUM(Departamentos!$B:$B)-SUM(Funcionarios!$F$2:$F$191))*Editavel!$C$26/COUNTIF(Funcionarios!$D$2:$D$191,"&gt;=2"),0)+IF(AND(Funcionarios!D51&gt;=3,COUNTIF(Funcionarios!$D$2:$D$191,"&gt;=3")&gt;0),(Editavel!$B$17-SUM(Departamentos!$B:$B)-SUM(Funcionarios!$F$2:$F$191))*Editavel!$C$27/COUNTIF(Funcionarios!$D$2:$D$191,"&gt;=3"),0)+IF(AND(Funcionarios!D51&gt;=4,COUNTIF(Funcionarios!$D$2:$D$191,"&gt;=4")&gt;0),(Editavel!$B$17-SUM(Departamentos!$B:$B)-SUM(Funcionarios!$F$2:$F$191))*Editavel!$C$28/COUNTIF(Funcionarios!$D$2:$D$191,"&gt;=4"),0)+IF(AND(Funcionarios!D51&gt;=5,COUNTIF(Funcionarios!$D$2:$D$191,"&gt;=5")&gt;0),(Editavel!$B$17-SUM(Departamentos!$B:$B)-SUM(Funcionarios!$F$2:$F$191))*Editavel!$C$29/COUNTIF(Funcionarios!$D$2:$D$191,"&gt;=5"),0))*IF(Funcionarios!G51&gt;0,Funcionarios!G51/30,1)</f>
        <v>0</v>
      </c>
      <c r="D61" s="5">
        <f>IF(COUNTIF(Funcionarios!$B$2:$B$191,Funcionarios!B51)&gt;0,SUMIFS(Departamentos!$B:$B,Departamentos!$C:$C,Funcionarios!B51)/COUNTIF(Funcionarios!$B$2:$B$191,Funcionarios!B51)*IF(Funcionarios!G51&gt;0,Funcionarios!G51/30,1),0)</f>
        <v>0</v>
      </c>
      <c r="E61" s="5">
        <f>Funcionarios!$F51</f>
        <v>0</v>
      </c>
      <c r="F61" s="5">
        <f>Funcionarios!$E51</f>
        <v>0</v>
      </c>
      <c r="G61" s="5">
        <f t="shared" si="0"/>
        <v>0</v>
      </c>
    </row>
    <row r="62" spans="1:7" x14ac:dyDescent="0.25">
      <c r="A62">
        <f>Funcionarios!A52</f>
        <v>0</v>
      </c>
      <c r="B62">
        <f>Funcionarios!B52</f>
        <v>0</v>
      </c>
      <c r="C62" s="5">
        <f>(IF(AND(Funcionarios!D52&gt;=1,COUNTIF(Funcionarios!$D$2:$D$191,"&gt;=1")&gt;0),(Editavel!$B$17-SUM(Departamentos!$B:$B)-SUM(Funcionarios!$F$2:$F$191))*Editavel!$C$25/COUNTIF(Funcionarios!$D$2:$D$191,"&gt;=1"),0)+IF(AND(Funcionarios!D52&gt;=2,COUNTIF(Funcionarios!$D$2:$D$191,"&gt;=2")&gt;0),(Editavel!$B$17-SUM(Departamentos!$B:$B)-SUM(Funcionarios!$F$2:$F$191))*Editavel!$C$26/COUNTIF(Funcionarios!$D$2:$D$191,"&gt;=2"),0)+IF(AND(Funcionarios!D52&gt;=3,COUNTIF(Funcionarios!$D$2:$D$191,"&gt;=3")&gt;0),(Editavel!$B$17-SUM(Departamentos!$B:$B)-SUM(Funcionarios!$F$2:$F$191))*Editavel!$C$27/COUNTIF(Funcionarios!$D$2:$D$191,"&gt;=3"),0)+IF(AND(Funcionarios!D52&gt;=4,COUNTIF(Funcionarios!$D$2:$D$191,"&gt;=4")&gt;0),(Editavel!$B$17-SUM(Departamentos!$B:$B)-SUM(Funcionarios!$F$2:$F$191))*Editavel!$C$28/COUNTIF(Funcionarios!$D$2:$D$191,"&gt;=4"),0)+IF(AND(Funcionarios!D52&gt;=5,COUNTIF(Funcionarios!$D$2:$D$191,"&gt;=5")&gt;0),(Editavel!$B$17-SUM(Departamentos!$B:$B)-SUM(Funcionarios!$F$2:$F$191))*Editavel!$C$29/COUNTIF(Funcionarios!$D$2:$D$191,"&gt;=5"),0))*IF(Funcionarios!G52&gt;0,Funcionarios!G52/30,1)</f>
        <v>0</v>
      </c>
      <c r="D62" s="5">
        <f>IF(COUNTIF(Funcionarios!$B$2:$B$191,Funcionarios!B52)&gt;0,SUMIFS(Departamentos!$B:$B,Departamentos!$C:$C,Funcionarios!B52)/COUNTIF(Funcionarios!$B$2:$B$191,Funcionarios!B52)*IF(Funcionarios!G52&gt;0,Funcionarios!G52/30,1),0)</f>
        <v>0</v>
      </c>
      <c r="E62" s="5">
        <f>Funcionarios!$F52</f>
        <v>0</v>
      </c>
      <c r="F62" s="5">
        <f>Funcionarios!$E52</f>
        <v>0</v>
      </c>
      <c r="G62" s="5">
        <f t="shared" si="0"/>
        <v>0</v>
      </c>
    </row>
    <row r="63" spans="1:7" x14ac:dyDescent="0.25">
      <c r="A63">
        <f>Funcionarios!A53</f>
        <v>0</v>
      </c>
      <c r="B63">
        <f>Funcionarios!B53</f>
        <v>0</v>
      </c>
      <c r="C63" s="5">
        <f>(IF(AND(Funcionarios!D53&gt;=1,COUNTIF(Funcionarios!$D$2:$D$191,"&gt;=1")&gt;0),(Editavel!$B$17-SUM(Departamentos!$B:$B)-SUM(Funcionarios!$F$2:$F$191))*Editavel!$C$25/COUNTIF(Funcionarios!$D$2:$D$191,"&gt;=1"),0)+IF(AND(Funcionarios!D53&gt;=2,COUNTIF(Funcionarios!$D$2:$D$191,"&gt;=2")&gt;0),(Editavel!$B$17-SUM(Departamentos!$B:$B)-SUM(Funcionarios!$F$2:$F$191))*Editavel!$C$26/COUNTIF(Funcionarios!$D$2:$D$191,"&gt;=2"),0)+IF(AND(Funcionarios!D53&gt;=3,COUNTIF(Funcionarios!$D$2:$D$191,"&gt;=3")&gt;0),(Editavel!$B$17-SUM(Departamentos!$B:$B)-SUM(Funcionarios!$F$2:$F$191))*Editavel!$C$27/COUNTIF(Funcionarios!$D$2:$D$191,"&gt;=3"),0)+IF(AND(Funcionarios!D53&gt;=4,COUNTIF(Funcionarios!$D$2:$D$191,"&gt;=4")&gt;0),(Editavel!$B$17-SUM(Departamentos!$B:$B)-SUM(Funcionarios!$F$2:$F$191))*Editavel!$C$28/COUNTIF(Funcionarios!$D$2:$D$191,"&gt;=4"),0)+IF(AND(Funcionarios!D53&gt;=5,COUNTIF(Funcionarios!$D$2:$D$191,"&gt;=5")&gt;0),(Editavel!$B$17-SUM(Departamentos!$B:$B)-SUM(Funcionarios!$F$2:$F$191))*Editavel!$C$29/COUNTIF(Funcionarios!$D$2:$D$191,"&gt;=5"),0))*IF(Funcionarios!G53&gt;0,Funcionarios!G53/30,1)</f>
        <v>0</v>
      </c>
      <c r="D63" s="5">
        <f>IF(COUNTIF(Funcionarios!$B$2:$B$191,Funcionarios!B53)&gt;0,SUMIFS(Departamentos!$B:$B,Departamentos!$C:$C,Funcionarios!B53)/COUNTIF(Funcionarios!$B$2:$B$191,Funcionarios!B53)*IF(Funcionarios!G53&gt;0,Funcionarios!G53/30,1),0)</f>
        <v>0</v>
      </c>
      <c r="E63" s="5">
        <f>Funcionarios!$F53</f>
        <v>0</v>
      </c>
      <c r="F63" s="5">
        <f>Funcionarios!$E53</f>
        <v>0</v>
      </c>
      <c r="G63" s="5">
        <f t="shared" si="0"/>
        <v>0</v>
      </c>
    </row>
    <row r="64" spans="1:7" x14ac:dyDescent="0.25">
      <c r="A64">
        <f>Funcionarios!A54</f>
        <v>0</v>
      </c>
      <c r="B64">
        <f>Funcionarios!B54</f>
        <v>0</v>
      </c>
      <c r="C64" s="5">
        <f>(IF(AND(Funcionarios!D54&gt;=1,COUNTIF(Funcionarios!$D$2:$D$191,"&gt;=1")&gt;0),(Editavel!$B$17-SUM(Departamentos!$B:$B)-SUM(Funcionarios!$F$2:$F$191))*Editavel!$C$25/COUNTIF(Funcionarios!$D$2:$D$191,"&gt;=1"),0)+IF(AND(Funcionarios!D54&gt;=2,COUNTIF(Funcionarios!$D$2:$D$191,"&gt;=2")&gt;0),(Editavel!$B$17-SUM(Departamentos!$B:$B)-SUM(Funcionarios!$F$2:$F$191))*Editavel!$C$26/COUNTIF(Funcionarios!$D$2:$D$191,"&gt;=2"),0)+IF(AND(Funcionarios!D54&gt;=3,COUNTIF(Funcionarios!$D$2:$D$191,"&gt;=3")&gt;0),(Editavel!$B$17-SUM(Departamentos!$B:$B)-SUM(Funcionarios!$F$2:$F$191))*Editavel!$C$27/COUNTIF(Funcionarios!$D$2:$D$191,"&gt;=3"),0)+IF(AND(Funcionarios!D54&gt;=4,COUNTIF(Funcionarios!$D$2:$D$191,"&gt;=4")&gt;0),(Editavel!$B$17-SUM(Departamentos!$B:$B)-SUM(Funcionarios!$F$2:$F$191))*Editavel!$C$28/COUNTIF(Funcionarios!$D$2:$D$191,"&gt;=4"),0)+IF(AND(Funcionarios!D54&gt;=5,COUNTIF(Funcionarios!$D$2:$D$191,"&gt;=5")&gt;0),(Editavel!$B$17-SUM(Departamentos!$B:$B)-SUM(Funcionarios!$F$2:$F$191))*Editavel!$C$29/COUNTIF(Funcionarios!$D$2:$D$191,"&gt;=5"),0))*IF(Funcionarios!G54&gt;0,Funcionarios!G54/30,1)</f>
        <v>0</v>
      </c>
      <c r="D64" s="5">
        <f>IF(COUNTIF(Funcionarios!$B$2:$B$191,Funcionarios!B54)&gt;0,SUMIFS(Departamentos!$B:$B,Departamentos!$C:$C,Funcionarios!B54)/COUNTIF(Funcionarios!$B$2:$B$191,Funcionarios!B54)*IF(Funcionarios!G54&gt;0,Funcionarios!G54/30,1),0)</f>
        <v>0</v>
      </c>
      <c r="E64" s="5">
        <f>Funcionarios!$F54</f>
        <v>0</v>
      </c>
      <c r="F64" s="5">
        <f>Funcionarios!$E54</f>
        <v>0</v>
      </c>
      <c r="G64" s="5">
        <f t="shared" si="0"/>
        <v>0</v>
      </c>
    </row>
    <row r="65" spans="1:7" x14ac:dyDescent="0.25">
      <c r="A65">
        <f>Funcionarios!A55</f>
        <v>0</v>
      </c>
      <c r="B65">
        <f>Funcionarios!B55</f>
        <v>0</v>
      </c>
      <c r="C65" s="5">
        <f>(IF(AND(Funcionarios!D55&gt;=1,COUNTIF(Funcionarios!$D$2:$D$191,"&gt;=1")&gt;0),(Editavel!$B$17-SUM(Departamentos!$B:$B)-SUM(Funcionarios!$F$2:$F$191))*Editavel!$C$25/COUNTIF(Funcionarios!$D$2:$D$191,"&gt;=1"),0)+IF(AND(Funcionarios!D55&gt;=2,COUNTIF(Funcionarios!$D$2:$D$191,"&gt;=2")&gt;0),(Editavel!$B$17-SUM(Departamentos!$B:$B)-SUM(Funcionarios!$F$2:$F$191))*Editavel!$C$26/COUNTIF(Funcionarios!$D$2:$D$191,"&gt;=2"),0)+IF(AND(Funcionarios!D55&gt;=3,COUNTIF(Funcionarios!$D$2:$D$191,"&gt;=3")&gt;0),(Editavel!$B$17-SUM(Departamentos!$B:$B)-SUM(Funcionarios!$F$2:$F$191))*Editavel!$C$27/COUNTIF(Funcionarios!$D$2:$D$191,"&gt;=3"),0)+IF(AND(Funcionarios!D55&gt;=4,COUNTIF(Funcionarios!$D$2:$D$191,"&gt;=4")&gt;0),(Editavel!$B$17-SUM(Departamentos!$B:$B)-SUM(Funcionarios!$F$2:$F$191))*Editavel!$C$28/COUNTIF(Funcionarios!$D$2:$D$191,"&gt;=4"),0)+IF(AND(Funcionarios!D55&gt;=5,COUNTIF(Funcionarios!$D$2:$D$191,"&gt;=5")&gt;0),(Editavel!$B$17-SUM(Departamentos!$B:$B)-SUM(Funcionarios!$F$2:$F$191))*Editavel!$C$29/COUNTIF(Funcionarios!$D$2:$D$191,"&gt;=5"),0))*IF(Funcionarios!G55&gt;0,Funcionarios!G55/30,1)</f>
        <v>0</v>
      </c>
      <c r="D65" s="5">
        <f>IF(COUNTIF(Funcionarios!$B$2:$B$191,Funcionarios!B55)&gt;0,SUMIFS(Departamentos!$B:$B,Departamentos!$C:$C,Funcionarios!B55)/COUNTIF(Funcionarios!$B$2:$B$191,Funcionarios!B55)*IF(Funcionarios!G55&gt;0,Funcionarios!G55/30,1),0)</f>
        <v>0</v>
      </c>
      <c r="E65" s="5">
        <f>Funcionarios!$F55</f>
        <v>0</v>
      </c>
      <c r="F65" s="5">
        <f>Funcionarios!$E55</f>
        <v>0</v>
      </c>
      <c r="G65" s="5">
        <f t="shared" si="0"/>
        <v>0</v>
      </c>
    </row>
    <row r="66" spans="1:7" x14ac:dyDescent="0.25">
      <c r="A66">
        <f>Funcionarios!A56</f>
        <v>0</v>
      </c>
      <c r="B66">
        <f>Funcionarios!B56</f>
        <v>0</v>
      </c>
      <c r="C66" s="5">
        <f>(IF(AND(Funcionarios!D56&gt;=1,COUNTIF(Funcionarios!$D$2:$D$191,"&gt;=1")&gt;0),(Editavel!$B$17-SUM(Departamentos!$B:$B)-SUM(Funcionarios!$F$2:$F$191))*Editavel!$C$25/COUNTIF(Funcionarios!$D$2:$D$191,"&gt;=1"),0)+IF(AND(Funcionarios!D56&gt;=2,COUNTIF(Funcionarios!$D$2:$D$191,"&gt;=2")&gt;0),(Editavel!$B$17-SUM(Departamentos!$B:$B)-SUM(Funcionarios!$F$2:$F$191))*Editavel!$C$26/COUNTIF(Funcionarios!$D$2:$D$191,"&gt;=2"),0)+IF(AND(Funcionarios!D56&gt;=3,COUNTIF(Funcionarios!$D$2:$D$191,"&gt;=3")&gt;0),(Editavel!$B$17-SUM(Departamentos!$B:$B)-SUM(Funcionarios!$F$2:$F$191))*Editavel!$C$27/COUNTIF(Funcionarios!$D$2:$D$191,"&gt;=3"),0)+IF(AND(Funcionarios!D56&gt;=4,COUNTIF(Funcionarios!$D$2:$D$191,"&gt;=4")&gt;0),(Editavel!$B$17-SUM(Departamentos!$B:$B)-SUM(Funcionarios!$F$2:$F$191))*Editavel!$C$28/COUNTIF(Funcionarios!$D$2:$D$191,"&gt;=4"),0)+IF(AND(Funcionarios!D56&gt;=5,COUNTIF(Funcionarios!$D$2:$D$191,"&gt;=5")&gt;0),(Editavel!$B$17-SUM(Departamentos!$B:$B)-SUM(Funcionarios!$F$2:$F$191))*Editavel!$C$29/COUNTIF(Funcionarios!$D$2:$D$191,"&gt;=5"),0))*IF(Funcionarios!G56&gt;0,Funcionarios!G56/30,1)</f>
        <v>0</v>
      </c>
      <c r="D66" s="5">
        <f>IF(COUNTIF(Funcionarios!$B$2:$B$191,Funcionarios!B56)&gt;0,SUMIFS(Departamentos!$B:$B,Departamentos!$C:$C,Funcionarios!B56)/COUNTIF(Funcionarios!$B$2:$B$191,Funcionarios!B56)*IF(Funcionarios!G56&gt;0,Funcionarios!G56/30,1),0)</f>
        <v>0</v>
      </c>
      <c r="E66" s="5">
        <f>Funcionarios!$F56</f>
        <v>0</v>
      </c>
      <c r="F66" s="5">
        <f>Funcionarios!$E56</f>
        <v>0</v>
      </c>
      <c r="G66" s="5">
        <f t="shared" ref="G66:G129" si="5">MAX(C66+D66+E66-F66,0)</f>
        <v>0</v>
      </c>
    </row>
    <row r="67" spans="1:7" x14ac:dyDescent="0.25">
      <c r="A67">
        <f>Funcionarios!A57</f>
        <v>0</v>
      </c>
      <c r="B67">
        <f>Funcionarios!B57</f>
        <v>0</v>
      </c>
      <c r="C67" s="5">
        <f>(IF(AND(Funcionarios!D57&gt;=1,COUNTIF(Funcionarios!$D$2:$D$191,"&gt;=1")&gt;0),(Editavel!$B$17-SUM(Departamentos!$B:$B)-SUM(Funcionarios!$F$2:$F$191))*Editavel!$C$25/COUNTIF(Funcionarios!$D$2:$D$191,"&gt;=1"),0)+IF(AND(Funcionarios!D57&gt;=2,COUNTIF(Funcionarios!$D$2:$D$191,"&gt;=2")&gt;0),(Editavel!$B$17-SUM(Departamentos!$B:$B)-SUM(Funcionarios!$F$2:$F$191))*Editavel!$C$26/COUNTIF(Funcionarios!$D$2:$D$191,"&gt;=2"),0)+IF(AND(Funcionarios!D57&gt;=3,COUNTIF(Funcionarios!$D$2:$D$191,"&gt;=3")&gt;0),(Editavel!$B$17-SUM(Departamentos!$B:$B)-SUM(Funcionarios!$F$2:$F$191))*Editavel!$C$27/COUNTIF(Funcionarios!$D$2:$D$191,"&gt;=3"),0)+IF(AND(Funcionarios!D57&gt;=4,COUNTIF(Funcionarios!$D$2:$D$191,"&gt;=4")&gt;0),(Editavel!$B$17-SUM(Departamentos!$B:$B)-SUM(Funcionarios!$F$2:$F$191))*Editavel!$C$28/COUNTIF(Funcionarios!$D$2:$D$191,"&gt;=4"),0)+IF(AND(Funcionarios!D57&gt;=5,COUNTIF(Funcionarios!$D$2:$D$191,"&gt;=5")&gt;0),(Editavel!$B$17-SUM(Departamentos!$B:$B)-SUM(Funcionarios!$F$2:$F$191))*Editavel!$C$29/COUNTIF(Funcionarios!$D$2:$D$191,"&gt;=5"),0))*IF(Funcionarios!G57&gt;0,Funcionarios!G57/30,1)</f>
        <v>0</v>
      </c>
      <c r="D67" s="5">
        <f>IF(COUNTIF(Funcionarios!$B$2:$B$191,Funcionarios!B57)&gt;0,SUMIFS(Departamentos!$B:$B,Departamentos!$C:$C,Funcionarios!B57)/COUNTIF(Funcionarios!$B$2:$B$191,Funcionarios!B57)*IF(Funcionarios!G57&gt;0,Funcionarios!G57/30,1),0)</f>
        <v>0</v>
      </c>
      <c r="E67" s="5">
        <f>Funcionarios!$F57</f>
        <v>0</v>
      </c>
      <c r="F67" s="5">
        <f>Funcionarios!$E57</f>
        <v>0</v>
      </c>
      <c r="G67" s="5">
        <f t="shared" si="5"/>
        <v>0</v>
      </c>
    </row>
    <row r="68" spans="1:7" x14ac:dyDescent="0.25">
      <c r="A68">
        <f>Funcionarios!A58</f>
        <v>0</v>
      </c>
      <c r="B68">
        <f>Funcionarios!B58</f>
        <v>0</v>
      </c>
      <c r="C68" s="5">
        <f>(IF(AND(Funcionarios!D58&gt;=1,COUNTIF(Funcionarios!$D$2:$D$191,"&gt;=1")&gt;0),(Editavel!$B$17-SUM(Departamentos!$B:$B)-SUM(Funcionarios!$F$2:$F$191))*Editavel!$C$25/COUNTIF(Funcionarios!$D$2:$D$191,"&gt;=1"),0)+IF(AND(Funcionarios!D58&gt;=2,COUNTIF(Funcionarios!$D$2:$D$191,"&gt;=2")&gt;0),(Editavel!$B$17-SUM(Departamentos!$B:$B)-SUM(Funcionarios!$F$2:$F$191))*Editavel!$C$26/COUNTIF(Funcionarios!$D$2:$D$191,"&gt;=2"),0)+IF(AND(Funcionarios!D58&gt;=3,COUNTIF(Funcionarios!$D$2:$D$191,"&gt;=3")&gt;0),(Editavel!$B$17-SUM(Departamentos!$B:$B)-SUM(Funcionarios!$F$2:$F$191))*Editavel!$C$27/COUNTIF(Funcionarios!$D$2:$D$191,"&gt;=3"),0)+IF(AND(Funcionarios!D58&gt;=4,COUNTIF(Funcionarios!$D$2:$D$191,"&gt;=4")&gt;0),(Editavel!$B$17-SUM(Departamentos!$B:$B)-SUM(Funcionarios!$F$2:$F$191))*Editavel!$C$28/COUNTIF(Funcionarios!$D$2:$D$191,"&gt;=4"),0)+IF(AND(Funcionarios!D58&gt;=5,COUNTIF(Funcionarios!$D$2:$D$191,"&gt;=5")&gt;0),(Editavel!$B$17-SUM(Departamentos!$B:$B)-SUM(Funcionarios!$F$2:$F$191))*Editavel!$C$29/COUNTIF(Funcionarios!$D$2:$D$191,"&gt;=5"),0))*IF(Funcionarios!G58&gt;0,Funcionarios!G58/30,1)</f>
        <v>0</v>
      </c>
      <c r="D68" s="5">
        <f>IF(COUNTIF(Funcionarios!$B$2:$B$191,Funcionarios!B58)&gt;0,SUMIFS(Departamentos!$B:$B,Departamentos!$C:$C,Funcionarios!B58)/COUNTIF(Funcionarios!$B$2:$B$191,Funcionarios!B58)*IF(Funcionarios!G58&gt;0,Funcionarios!G58/30,1),0)</f>
        <v>0</v>
      </c>
      <c r="E68" s="5">
        <f>Funcionarios!$F58</f>
        <v>0</v>
      </c>
      <c r="F68" s="5">
        <f>Funcionarios!$E58</f>
        <v>0</v>
      </c>
      <c r="G68" s="5">
        <f t="shared" si="5"/>
        <v>0</v>
      </c>
    </row>
    <row r="69" spans="1:7" x14ac:dyDescent="0.25">
      <c r="A69">
        <f>Funcionarios!A59</f>
        <v>0</v>
      </c>
      <c r="B69">
        <f>Funcionarios!B59</f>
        <v>0</v>
      </c>
      <c r="C69" s="5">
        <f>(IF(AND(Funcionarios!D59&gt;=1,COUNTIF(Funcionarios!$D$2:$D$191,"&gt;=1")&gt;0),(Editavel!$B$17-SUM(Departamentos!$B:$B)-SUM(Funcionarios!$F$2:$F$191))*Editavel!$C$25/COUNTIF(Funcionarios!$D$2:$D$191,"&gt;=1"),0)+IF(AND(Funcionarios!D59&gt;=2,COUNTIF(Funcionarios!$D$2:$D$191,"&gt;=2")&gt;0),(Editavel!$B$17-SUM(Departamentos!$B:$B)-SUM(Funcionarios!$F$2:$F$191))*Editavel!$C$26/COUNTIF(Funcionarios!$D$2:$D$191,"&gt;=2"),0)+IF(AND(Funcionarios!D59&gt;=3,COUNTIF(Funcionarios!$D$2:$D$191,"&gt;=3")&gt;0),(Editavel!$B$17-SUM(Departamentos!$B:$B)-SUM(Funcionarios!$F$2:$F$191))*Editavel!$C$27/COUNTIF(Funcionarios!$D$2:$D$191,"&gt;=3"),0)+IF(AND(Funcionarios!D59&gt;=4,COUNTIF(Funcionarios!$D$2:$D$191,"&gt;=4")&gt;0),(Editavel!$B$17-SUM(Departamentos!$B:$B)-SUM(Funcionarios!$F$2:$F$191))*Editavel!$C$28/COUNTIF(Funcionarios!$D$2:$D$191,"&gt;=4"),0)+IF(AND(Funcionarios!D59&gt;=5,COUNTIF(Funcionarios!$D$2:$D$191,"&gt;=5")&gt;0),(Editavel!$B$17-SUM(Departamentos!$B:$B)-SUM(Funcionarios!$F$2:$F$191))*Editavel!$C$29/COUNTIF(Funcionarios!$D$2:$D$191,"&gt;=5"),0))*IF(Funcionarios!G59&gt;0,Funcionarios!G59/30,1)</f>
        <v>0</v>
      </c>
      <c r="D69" s="5">
        <f>IF(COUNTIF(Funcionarios!$B$2:$B$191,Funcionarios!B59)&gt;0,SUMIFS(Departamentos!$B:$B,Departamentos!$C:$C,Funcionarios!B59)/COUNTIF(Funcionarios!$B$2:$B$191,Funcionarios!B59)*IF(Funcionarios!G59&gt;0,Funcionarios!G59/30,1),0)</f>
        <v>0</v>
      </c>
      <c r="E69" s="5">
        <f>Funcionarios!$F59</f>
        <v>0</v>
      </c>
      <c r="F69" s="5">
        <f>Funcionarios!$E59</f>
        <v>0</v>
      </c>
      <c r="G69" s="5">
        <f t="shared" si="5"/>
        <v>0</v>
      </c>
    </row>
    <row r="70" spans="1:7" x14ac:dyDescent="0.25">
      <c r="A70">
        <f>Funcionarios!A60</f>
        <v>0</v>
      </c>
      <c r="B70">
        <f>Funcionarios!B60</f>
        <v>0</v>
      </c>
      <c r="C70" s="5">
        <f>(IF(AND(Funcionarios!D60&gt;=1,COUNTIF(Funcionarios!$D$2:$D$191,"&gt;=1")&gt;0),(Editavel!$B$17-SUM(Departamentos!$B:$B)-SUM(Funcionarios!$F$2:$F$191))*Editavel!$C$25/COUNTIF(Funcionarios!$D$2:$D$191,"&gt;=1"),0)+IF(AND(Funcionarios!D60&gt;=2,COUNTIF(Funcionarios!$D$2:$D$191,"&gt;=2")&gt;0),(Editavel!$B$17-SUM(Departamentos!$B:$B)-SUM(Funcionarios!$F$2:$F$191))*Editavel!$C$26/COUNTIF(Funcionarios!$D$2:$D$191,"&gt;=2"),0)+IF(AND(Funcionarios!D60&gt;=3,COUNTIF(Funcionarios!$D$2:$D$191,"&gt;=3")&gt;0),(Editavel!$B$17-SUM(Departamentos!$B:$B)-SUM(Funcionarios!$F$2:$F$191))*Editavel!$C$27/COUNTIF(Funcionarios!$D$2:$D$191,"&gt;=3"),0)+IF(AND(Funcionarios!D60&gt;=4,COUNTIF(Funcionarios!$D$2:$D$191,"&gt;=4")&gt;0),(Editavel!$B$17-SUM(Departamentos!$B:$B)-SUM(Funcionarios!$F$2:$F$191))*Editavel!$C$28/COUNTIF(Funcionarios!$D$2:$D$191,"&gt;=4"),0)+IF(AND(Funcionarios!D60&gt;=5,COUNTIF(Funcionarios!$D$2:$D$191,"&gt;=5")&gt;0),(Editavel!$B$17-SUM(Departamentos!$B:$B)-SUM(Funcionarios!$F$2:$F$191))*Editavel!$C$29/COUNTIF(Funcionarios!$D$2:$D$191,"&gt;=5"),0))*IF(Funcionarios!G60&gt;0,Funcionarios!G60/30,1)</f>
        <v>0</v>
      </c>
      <c r="D70" s="5">
        <f>IF(COUNTIF(Funcionarios!$B$2:$B$191,Funcionarios!B60)&gt;0,SUMIFS(Departamentos!$B:$B,Departamentos!$C:$C,Funcionarios!B60)/COUNTIF(Funcionarios!$B$2:$B$191,Funcionarios!B60)*IF(Funcionarios!G60&gt;0,Funcionarios!G60/30,1),0)</f>
        <v>0</v>
      </c>
      <c r="E70" s="5">
        <f>Funcionarios!$F60</f>
        <v>0</v>
      </c>
      <c r="F70" s="5">
        <f>Funcionarios!$E60</f>
        <v>0</v>
      </c>
      <c r="G70" s="5">
        <f t="shared" si="5"/>
        <v>0</v>
      </c>
    </row>
    <row r="71" spans="1:7" x14ac:dyDescent="0.25">
      <c r="A71">
        <f>Funcionarios!A61</f>
        <v>0</v>
      </c>
      <c r="B71">
        <f>Funcionarios!B61</f>
        <v>0</v>
      </c>
      <c r="C71" s="5">
        <f>(IF(AND(Funcionarios!D61&gt;=1,COUNTIF(Funcionarios!$D$2:$D$191,"&gt;=1")&gt;0),(Editavel!$B$17-SUM(Departamentos!$B:$B)-SUM(Funcionarios!$F$2:$F$191))*Editavel!$C$25/COUNTIF(Funcionarios!$D$2:$D$191,"&gt;=1"),0)+IF(AND(Funcionarios!D61&gt;=2,COUNTIF(Funcionarios!$D$2:$D$191,"&gt;=2")&gt;0),(Editavel!$B$17-SUM(Departamentos!$B:$B)-SUM(Funcionarios!$F$2:$F$191))*Editavel!$C$26/COUNTIF(Funcionarios!$D$2:$D$191,"&gt;=2"),0)+IF(AND(Funcionarios!D61&gt;=3,COUNTIF(Funcionarios!$D$2:$D$191,"&gt;=3")&gt;0),(Editavel!$B$17-SUM(Departamentos!$B:$B)-SUM(Funcionarios!$F$2:$F$191))*Editavel!$C$27/COUNTIF(Funcionarios!$D$2:$D$191,"&gt;=3"),0)+IF(AND(Funcionarios!D61&gt;=4,COUNTIF(Funcionarios!$D$2:$D$191,"&gt;=4")&gt;0),(Editavel!$B$17-SUM(Departamentos!$B:$B)-SUM(Funcionarios!$F$2:$F$191))*Editavel!$C$28/COUNTIF(Funcionarios!$D$2:$D$191,"&gt;=4"),0)+IF(AND(Funcionarios!D61&gt;=5,COUNTIF(Funcionarios!$D$2:$D$191,"&gt;=5")&gt;0),(Editavel!$B$17-SUM(Departamentos!$B:$B)-SUM(Funcionarios!$F$2:$F$191))*Editavel!$C$29/COUNTIF(Funcionarios!$D$2:$D$191,"&gt;=5"),0))*IF(Funcionarios!G61&gt;0,Funcionarios!G61/30,1)</f>
        <v>0</v>
      </c>
      <c r="D71" s="5">
        <f>IF(COUNTIF(Funcionarios!$B$2:$B$191,Funcionarios!B61)&gt;0,SUMIFS(Departamentos!$B:$B,Departamentos!$C:$C,Funcionarios!B61)/COUNTIF(Funcionarios!$B$2:$B$191,Funcionarios!B61)*IF(Funcionarios!G61&gt;0,Funcionarios!G61/30,1),0)</f>
        <v>0</v>
      </c>
      <c r="E71" s="5">
        <f>Funcionarios!$F61</f>
        <v>0</v>
      </c>
      <c r="F71" s="5">
        <f>Funcionarios!$E61</f>
        <v>0</v>
      </c>
      <c r="G71" s="5">
        <f t="shared" si="5"/>
        <v>0</v>
      </c>
    </row>
    <row r="72" spans="1:7" x14ac:dyDescent="0.25">
      <c r="A72">
        <f>Funcionarios!A62</f>
        <v>0</v>
      </c>
      <c r="B72">
        <f>Funcionarios!B62</f>
        <v>0</v>
      </c>
      <c r="C72" s="5">
        <f>(IF(AND(Funcionarios!D62&gt;=1,COUNTIF(Funcionarios!$D$2:$D$191,"&gt;=1")&gt;0),(Editavel!$B$17-SUM(Departamentos!$B:$B)-SUM(Funcionarios!$F$2:$F$191))*Editavel!$C$25/COUNTIF(Funcionarios!$D$2:$D$191,"&gt;=1"),0)+IF(AND(Funcionarios!D62&gt;=2,COUNTIF(Funcionarios!$D$2:$D$191,"&gt;=2")&gt;0),(Editavel!$B$17-SUM(Departamentos!$B:$B)-SUM(Funcionarios!$F$2:$F$191))*Editavel!$C$26/COUNTIF(Funcionarios!$D$2:$D$191,"&gt;=2"),0)+IF(AND(Funcionarios!D62&gt;=3,COUNTIF(Funcionarios!$D$2:$D$191,"&gt;=3")&gt;0),(Editavel!$B$17-SUM(Departamentos!$B:$B)-SUM(Funcionarios!$F$2:$F$191))*Editavel!$C$27/COUNTIF(Funcionarios!$D$2:$D$191,"&gt;=3"),0)+IF(AND(Funcionarios!D62&gt;=4,COUNTIF(Funcionarios!$D$2:$D$191,"&gt;=4")&gt;0),(Editavel!$B$17-SUM(Departamentos!$B:$B)-SUM(Funcionarios!$F$2:$F$191))*Editavel!$C$28/COUNTIF(Funcionarios!$D$2:$D$191,"&gt;=4"),0)+IF(AND(Funcionarios!D62&gt;=5,COUNTIF(Funcionarios!$D$2:$D$191,"&gt;=5")&gt;0),(Editavel!$B$17-SUM(Departamentos!$B:$B)-SUM(Funcionarios!$F$2:$F$191))*Editavel!$C$29/COUNTIF(Funcionarios!$D$2:$D$191,"&gt;=5"),0))*IF(Funcionarios!G62&gt;0,Funcionarios!G62/30,1)</f>
        <v>0</v>
      </c>
      <c r="D72" s="5">
        <f>IF(COUNTIF(Funcionarios!$B$2:$B$191,Funcionarios!B62)&gt;0,SUMIFS(Departamentos!$B:$B,Departamentos!$C:$C,Funcionarios!B62)/COUNTIF(Funcionarios!$B$2:$B$191,Funcionarios!B62)*IF(Funcionarios!G62&gt;0,Funcionarios!G62/30,1),0)</f>
        <v>0</v>
      </c>
      <c r="E72" s="5">
        <f>Funcionarios!$F62</f>
        <v>0</v>
      </c>
      <c r="F72" s="5">
        <f>Funcionarios!$E62</f>
        <v>0</v>
      </c>
      <c r="G72" s="5">
        <f t="shared" si="5"/>
        <v>0</v>
      </c>
    </row>
    <row r="73" spans="1:7" x14ac:dyDescent="0.25">
      <c r="A73">
        <f>Funcionarios!A63</f>
        <v>0</v>
      </c>
      <c r="B73">
        <f>Funcionarios!B63</f>
        <v>0</v>
      </c>
      <c r="C73" s="5">
        <f>(IF(AND(Funcionarios!D63&gt;=1,COUNTIF(Funcionarios!$D$2:$D$191,"&gt;=1")&gt;0),(Editavel!$B$17-SUM(Departamentos!$B:$B)-SUM(Funcionarios!$F$2:$F$191))*Editavel!$C$25/COUNTIF(Funcionarios!$D$2:$D$191,"&gt;=1"),0)+IF(AND(Funcionarios!D63&gt;=2,COUNTIF(Funcionarios!$D$2:$D$191,"&gt;=2")&gt;0),(Editavel!$B$17-SUM(Departamentos!$B:$B)-SUM(Funcionarios!$F$2:$F$191))*Editavel!$C$26/COUNTIF(Funcionarios!$D$2:$D$191,"&gt;=2"),0)+IF(AND(Funcionarios!D63&gt;=3,COUNTIF(Funcionarios!$D$2:$D$191,"&gt;=3")&gt;0),(Editavel!$B$17-SUM(Departamentos!$B:$B)-SUM(Funcionarios!$F$2:$F$191))*Editavel!$C$27/COUNTIF(Funcionarios!$D$2:$D$191,"&gt;=3"),0)+IF(AND(Funcionarios!D63&gt;=4,COUNTIF(Funcionarios!$D$2:$D$191,"&gt;=4")&gt;0),(Editavel!$B$17-SUM(Departamentos!$B:$B)-SUM(Funcionarios!$F$2:$F$191))*Editavel!$C$28/COUNTIF(Funcionarios!$D$2:$D$191,"&gt;=4"),0)+IF(AND(Funcionarios!D63&gt;=5,COUNTIF(Funcionarios!$D$2:$D$191,"&gt;=5")&gt;0),(Editavel!$B$17-SUM(Departamentos!$B:$B)-SUM(Funcionarios!$F$2:$F$191))*Editavel!$C$29/COUNTIF(Funcionarios!$D$2:$D$191,"&gt;=5"),0))*IF(Funcionarios!G63&gt;0,Funcionarios!G63/30,1)</f>
        <v>0</v>
      </c>
      <c r="D73" s="5">
        <f>IF(COUNTIF(Funcionarios!$B$2:$B$191,Funcionarios!B63)&gt;0,SUMIFS(Departamentos!$B:$B,Departamentos!$C:$C,Funcionarios!B63)/COUNTIF(Funcionarios!$B$2:$B$191,Funcionarios!B63)*IF(Funcionarios!G63&gt;0,Funcionarios!G63/30,1),0)</f>
        <v>0</v>
      </c>
      <c r="E73" s="5">
        <f>Funcionarios!$F63</f>
        <v>0</v>
      </c>
      <c r="F73" s="5">
        <f>Funcionarios!$E63</f>
        <v>0</v>
      </c>
      <c r="G73" s="5">
        <f t="shared" si="5"/>
        <v>0</v>
      </c>
    </row>
    <row r="74" spans="1:7" x14ac:dyDescent="0.25">
      <c r="A74">
        <f>Funcionarios!A64</f>
        <v>0</v>
      </c>
      <c r="B74">
        <f>Funcionarios!B64</f>
        <v>0</v>
      </c>
      <c r="C74" s="5">
        <f>(IF(AND(Funcionarios!D64&gt;=1,COUNTIF(Funcionarios!$D$2:$D$191,"&gt;=1")&gt;0),(Editavel!$B$17-SUM(Departamentos!$B:$B)-SUM(Funcionarios!$F$2:$F$191))*Editavel!$C$25/COUNTIF(Funcionarios!$D$2:$D$191,"&gt;=1"),0)+IF(AND(Funcionarios!D64&gt;=2,COUNTIF(Funcionarios!$D$2:$D$191,"&gt;=2")&gt;0),(Editavel!$B$17-SUM(Departamentos!$B:$B)-SUM(Funcionarios!$F$2:$F$191))*Editavel!$C$26/COUNTIF(Funcionarios!$D$2:$D$191,"&gt;=2"),0)+IF(AND(Funcionarios!D64&gt;=3,COUNTIF(Funcionarios!$D$2:$D$191,"&gt;=3")&gt;0),(Editavel!$B$17-SUM(Departamentos!$B:$B)-SUM(Funcionarios!$F$2:$F$191))*Editavel!$C$27/COUNTIF(Funcionarios!$D$2:$D$191,"&gt;=3"),0)+IF(AND(Funcionarios!D64&gt;=4,COUNTIF(Funcionarios!$D$2:$D$191,"&gt;=4")&gt;0),(Editavel!$B$17-SUM(Departamentos!$B:$B)-SUM(Funcionarios!$F$2:$F$191))*Editavel!$C$28/COUNTIF(Funcionarios!$D$2:$D$191,"&gt;=4"),0)+IF(AND(Funcionarios!D64&gt;=5,COUNTIF(Funcionarios!$D$2:$D$191,"&gt;=5")&gt;0),(Editavel!$B$17-SUM(Departamentos!$B:$B)-SUM(Funcionarios!$F$2:$F$191))*Editavel!$C$29/COUNTIF(Funcionarios!$D$2:$D$191,"&gt;=5"),0))*IF(Funcionarios!G64&gt;0,Funcionarios!G64/30,1)</f>
        <v>0</v>
      </c>
      <c r="D74" s="5">
        <f>IF(COUNTIF(Funcionarios!$B$2:$B$191,Funcionarios!B64)&gt;0,SUMIFS(Departamentos!$B:$B,Departamentos!$C:$C,Funcionarios!B64)/COUNTIF(Funcionarios!$B$2:$B$191,Funcionarios!B64)*IF(Funcionarios!G64&gt;0,Funcionarios!G64/30,1),0)</f>
        <v>0</v>
      </c>
      <c r="E74" s="5">
        <f>Funcionarios!$F64</f>
        <v>0</v>
      </c>
      <c r="F74" s="5">
        <f>Funcionarios!$E64</f>
        <v>0</v>
      </c>
      <c r="G74" s="5">
        <f t="shared" si="5"/>
        <v>0</v>
      </c>
    </row>
    <row r="75" spans="1:7" x14ac:dyDescent="0.25">
      <c r="A75">
        <f>Funcionarios!A65</f>
        <v>0</v>
      </c>
      <c r="B75">
        <f>Funcionarios!B65</f>
        <v>0</v>
      </c>
      <c r="C75" s="5">
        <f>(IF(AND(Funcionarios!D65&gt;=1,COUNTIF(Funcionarios!$D$2:$D$191,"&gt;=1")&gt;0),(Editavel!$B$17-SUM(Departamentos!$B:$B)-SUM(Funcionarios!$F$2:$F$191))*Editavel!$C$25/COUNTIF(Funcionarios!$D$2:$D$191,"&gt;=1"),0)+IF(AND(Funcionarios!D65&gt;=2,COUNTIF(Funcionarios!$D$2:$D$191,"&gt;=2")&gt;0),(Editavel!$B$17-SUM(Departamentos!$B:$B)-SUM(Funcionarios!$F$2:$F$191))*Editavel!$C$26/COUNTIF(Funcionarios!$D$2:$D$191,"&gt;=2"),0)+IF(AND(Funcionarios!D65&gt;=3,COUNTIF(Funcionarios!$D$2:$D$191,"&gt;=3")&gt;0),(Editavel!$B$17-SUM(Departamentos!$B:$B)-SUM(Funcionarios!$F$2:$F$191))*Editavel!$C$27/COUNTIF(Funcionarios!$D$2:$D$191,"&gt;=3"),0)+IF(AND(Funcionarios!D65&gt;=4,COUNTIF(Funcionarios!$D$2:$D$191,"&gt;=4")&gt;0),(Editavel!$B$17-SUM(Departamentos!$B:$B)-SUM(Funcionarios!$F$2:$F$191))*Editavel!$C$28/COUNTIF(Funcionarios!$D$2:$D$191,"&gt;=4"),0)+IF(AND(Funcionarios!D65&gt;=5,COUNTIF(Funcionarios!$D$2:$D$191,"&gt;=5")&gt;0),(Editavel!$B$17-SUM(Departamentos!$B:$B)-SUM(Funcionarios!$F$2:$F$191))*Editavel!$C$29/COUNTIF(Funcionarios!$D$2:$D$191,"&gt;=5"),0))*IF(Funcionarios!G65&gt;0,Funcionarios!G65/30,1)</f>
        <v>0</v>
      </c>
      <c r="D75" s="5">
        <f>IF(COUNTIF(Funcionarios!$B$2:$B$191,Funcionarios!B65)&gt;0,SUMIFS(Departamentos!$B:$B,Departamentos!$C:$C,Funcionarios!B65)/COUNTIF(Funcionarios!$B$2:$B$191,Funcionarios!B65)*IF(Funcionarios!G65&gt;0,Funcionarios!G65/30,1),0)</f>
        <v>0</v>
      </c>
      <c r="E75" s="5">
        <f>Funcionarios!$F65</f>
        <v>0</v>
      </c>
      <c r="F75" s="5">
        <f>Funcionarios!$E65</f>
        <v>0</v>
      </c>
      <c r="G75" s="5">
        <f t="shared" si="5"/>
        <v>0</v>
      </c>
    </row>
    <row r="76" spans="1:7" x14ac:dyDescent="0.25">
      <c r="A76">
        <f>Funcionarios!A66</f>
        <v>0</v>
      </c>
      <c r="B76">
        <f>Funcionarios!B66</f>
        <v>0</v>
      </c>
      <c r="C76" s="5">
        <f>(IF(AND(Funcionarios!D66&gt;=1,COUNTIF(Funcionarios!$D$2:$D$191,"&gt;=1")&gt;0),(Editavel!$B$17-SUM(Departamentos!$B:$B)-SUM(Funcionarios!$F$2:$F$191))*Editavel!$C$25/COUNTIF(Funcionarios!$D$2:$D$191,"&gt;=1"),0)+IF(AND(Funcionarios!D66&gt;=2,COUNTIF(Funcionarios!$D$2:$D$191,"&gt;=2")&gt;0),(Editavel!$B$17-SUM(Departamentos!$B:$B)-SUM(Funcionarios!$F$2:$F$191))*Editavel!$C$26/COUNTIF(Funcionarios!$D$2:$D$191,"&gt;=2"),0)+IF(AND(Funcionarios!D66&gt;=3,COUNTIF(Funcionarios!$D$2:$D$191,"&gt;=3")&gt;0),(Editavel!$B$17-SUM(Departamentos!$B:$B)-SUM(Funcionarios!$F$2:$F$191))*Editavel!$C$27/COUNTIF(Funcionarios!$D$2:$D$191,"&gt;=3"),0)+IF(AND(Funcionarios!D66&gt;=4,COUNTIF(Funcionarios!$D$2:$D$191,"&gt;=4")&gt;0),(Editavel!$B$17-SUM(Departamentos!$B:$B)-SUM(Funcionarios!$F$2:$F$191))*Editavel!$C$28/COUNTIF(Funcionarios!$D$2:$D$191,"&gt;=4"),0)+IF(AND(Funcionarios!D66&gt;=5,COUNTIF(Funcionarios!$D$2:$D$191,"&gt;=5")&gt;0),(Editavel!$B$17-SUM(Departamentos!$B:$B)-SUM(Funcionarios!$F$2:$F$191))*Editavel!$C$29/COUNTIF(Funcionarios!$D$2:$D$191,"&gt;=5"),0))*IF(Funcionarios!G66&gt;0,Funcionarios!G66/30,1)</f>
        <v>0</v>
      </c>
      <c r="D76" s="5">
        <f>IF(COUNTIF(Funcionarios!$B$2:$B$191,Funcionarios!B66)&gt;0,SUMIFS(Departamentos!$B:$B,Departamentos!$C:$C,Funcionarios!B66)/COUNTIF(Funcionarios!$B$2:$B$191,Funcionarios!B66)*IF(Funcionarios!G66&gt;0,Funcionarios!G66/30,1),0)</f>
        <v>0</v>
      </c>
      <c r="E76" s="5">
        <f>Funcionarios!$F66</f>
        <v>0</v>
      </c>
      <c r="F76" s="5">
        <f>Funcionarios!$E66</f>
        <v>0</v>
      </c>
      <c r="G76" s="5">
        <f t="shared" si="5"/>
        <v>0</v>
      </c>
    </row>
    <row r="77" spans="1:7" x14ac:dyDescent="0.25">
      <c r="A77">
        <f>Funcionarios!A67</f>
        <v>0</v>
      </c>
      <c r="B77">
        <f>Funcionarios!B67</f>
        <v>0</v>
      </c>
      <c r="C77" s="5">
        <f>(IF(AND(Funcionarios!D67&gt;=1,COUNTIF(Funcionarios!$D$2:$D$191,"&gt;=1")&gt;0),(Editavel!$B$17-SUM(Departamentos!$B:$B)-SUM(Funcionarios!$F$2:$F$191))*Editavel!$C$25/COUNTIF(Funcionarios!$D$2:$D$191,"&gt;=1"),0)+IF(AND(Funcionarios!D67&gt;=2,COUNTIF(Funcionarios!$D$2:$D$191,"&gt;=2")&gt;0),(Editavel!$B$17-SUM(Departamentos!$B:$B)-SUM(Funcionarios!$F$2:$F$191))*Editavel!$C$26/COUNTIF(Funcionarios!$D$2:$D$191,"&gt;=2"),0)+IF(AND(Funcionarios!D67&gt;=3,COUNTIF(Funcionarios!$D$2:$D$191,"&gt;=3")&gt;0),(Editavel!$B$17-SUM(Departamentos!$B:$B)-SUM(Funcionarios!$F$2:$F$191))*Editavel!$C$27/COUNTIF(Funcionarios!$D$2:$D$191,"&gt;=3"),0)+IF(AND(Funcionarios!D67&gt;=4,COUNTIF(Funcionarios!$D$2:$D$191,"&gt;=4")&gt;0),(Editavel!$B$17-SUM(Departamentos!$B:$B)-SUM(Funcionarios!$F$2:$F$191))*Editavel!$C$28/COUNTIF(Funcionarios!$D$2:$D$191,"&gt;=4"),0)+IF(AND(Funcionarios!D67&gt;=5,COUNTIF(Funcionarios!$D$2:$D$191,"&gt;=5")&gt;0),(Editavel!$B$17-SUM(Departamentos!$B:$B)-SUM(Funcionarios!$F$2:$F$191))*Editavel!$C$29/COUNTIF(Funcionarios!$D$2:$D$191,"&gt;=5"),0))*IF(Funcionarios!G67&gt;0,Funcionarios!G67/30,1)</f>
        <v>0</v>
      </c>
      <c r="D77" s="5">
        <f>IF(COUNTIF(Funcionarios!$B$2:$B$191,Funcionarios!B67)&gt;0,SUMIFS(Departamentos!$B:$B,Departamentos!$C:$C,Funcionarios!B67)/COUNTIF(Funcionarios!$B$2:$B$191,Funcionarios!B67)*IF(Funcionarios!G67&gt;0,Funcionarios!G67/30,1),0)</f>
        <v>0</v>
      </c>
      <c r="E77" s="5">
        <f>Funcionarios!$F67</f>
        <v>0</v>
      </c>
      <c r="F77" s="5">
        <f>Funcionarios!$E67</f>
        <v>0</v>
      </c>
      <c r="G77" s="5">
        <f t="shared" si="5"/>
        <v>0</v>
      </c>
    </row>
    <row r="78" spans="1:7" x14ac:dyDescent="0.25">
      <c r="A78">
        <f>Funcionarios!A68</f>
        <v>0</v>
      </c>
      <c r="B78">
        <f>Funcionarios!B68</f>
        <v>0</v>
      </c>
      <c r="C78" s="5">
        <f>(IF(AND(Funcionarios!D68&gt;=1,COUNTIF(Funcionarios!$D$2:$D$191,"&gt;=1")&gt;0),(Editavel!$B$17-SUM(Departamentos!$B:$B)-SUM(Funcionarios!$F$2:$F$191))*Editavel!$C$25/COUNTIF(Funcionarios!$D$2:$D$191,"&gt;=1"),0)+IF(AND(Funcionarios!D68&gt;=2,COUNTIF(Funcionarios!$D$2:$D$191,"&gt;=2")&gt;0),(Editavel!$B$17-SUM(Departamentos!$B:$B)-SUM(Funcionarios!$F$2:$F$191))*Editavel!$C$26/COUNTIF(Funcionarios!$D$2:$D$191,"&gt;=2"),0)+IF(AND(Funcionarios!D68&gt;=3,COUNTIF(Funcionarios!$D$2:$D$191,"&gt;=3")&gt;0),(Editavel!$B$17-SUM(Departamentos!$B:$B)-SUM(Funcionarios!$F$2:$F$191))*Editavel!$C$27/COUNTIF(Funcionarios!$D$2:$D$191,"&gt;=3"),0)+IF(AND(Funcionarios!D68&gt;=4,COUNTIF(Funcionarios!$D$2:$D$191,"&gt;=4")&gt;0),(Editavel!$B$17-SUM(Departamentos!$B:$B)-SUM(Funcionarios!$F$2:$F$191))*Editavel!$C$28/COUNTIF(Funcionarios!$D$2:$D$191,"&gt;=4"),0)+IF(AND(Funcionarios!D68&gt;=5,COUNTIF(Funcionarios!$D$2:$D$191,"&gt;=5")&gt;0),(Editavel!$B$17-SUM(Departamentos!$B:$B)-SUM(Funcionarios!$F$2:$F$191))*Editavel!$C$29/COUNTIF(Funcionarios!$D$2:$D$191,"&gt;=5"),0))*IF(Funcionarios!G68&gt;0,Funcionarios!G68/30,1)</f>
        <v>0</v>
      </c>
      <c r="D78" s="5">
        <f>IF(COUNTIF(Funcionarios!$B$2:$B$191,Funcionarios!B68)&gt;0,SUMIFS(Departamentos!$B:$B,Departamentos!$C:$C,Funcionarios!B68)/COUNTIF(Funcionarios!$B$2:$B$191,Funcionarios!B68)*IF(Funcionarios!G68&gt;0,Funcionarios!G68/30,1),0)</f>
        <v>0</v>
      </c>
      <c r="E78" s="5">
        <f>Funcionarios!$F68</f>
        <v>0</v>
      </c>
      <c r="F78" s="5">
        <f>Funcionarios!$E68</f>
        <v>0</v>
      </c>
      <c r="G78" s="5">
        <f t="shared" si="5"/>
        <v>0</v>
      </c>
    </row>
    <row r="79" spans="1:7" x14ac:dyDescent="0.25">
      <c r="A79">
        <f>Funcionarios!A69</f>
        <v>0</v>
      </c>
      <c r="B79">
        <f>Funcionarios!B69</f>
        <v>0</v>
      </c>
      <c r="C79" s="5">
        <f>(IF(AND(Funcionarios!D69&gt;=1,COUNTIF(Funcionarios!$D$2:$D$191,"&gt;=1")&gt;0),(Editavel!$B$17-SUM(Departamentos!$B:$B)-SUM(Funcionarios!$F$2:$F$191))*Editavel!$C$25/COUNTIF(Funcionarios!$D$2:$D$191,"&gt;=1"),0)+IF(AND(Funcionarios!D69&gt;=2,COUNTIF(Funcionarios!$D$2:$D$191,"&gt;=2")&gt;0),(Editavel!$B$17-SUM(Departamentos!$B:$B)-SUM(Funcionarios!$F$2:$F$191))*Editavel!$C$26/COUNTIF(Funcionarios!$D$2:$D$191,"&gt;=2"),0)+IF(AND(Funcionarios!D69&gt;=3,COUNTIF(Funcionarios!$D$2:$D$191,"&gt;=3")&gt;0),(Editavel!$B$17-SUM(Departamentos!$B:$B)-SUM(Funcionarios!$F$2:$F$191))*Editavel!$C$27/COUNTIF(Funcionarios!$D$2:$D$191,"&gt;=3"),0)+IF(AND(Funcionarios!D69&gt;=4,COUNTIF(Funcionarios!$D$2:$D$191,"&gt;=4")&gt;0),(Editavel!$B$17-SUM(Departamentos!$B:$B)-SUM(Funcionarios!$F$2:$F$191))*Editavel!$C$28/COUNTIF(Funcionarios!$D$2:$D$191,"&gt;=4"),0)+IF(AND(Funcionarios!D69&gt;=5,COUNTIF(Funcionarios!$D$2:$D$191,"&gt;=5")&gt;0),(Editavel!$B$17-SUM(Departamentos!$B:$B)-SUM(Funcionarios!$F$2:$F$191))*Editavel!$C$29/COUNTIF(Funcionarios!$D$2:$D$191,"&gt;=5"),0))*IF(Funcionarios!G69&gt;0,Funcionarios!G69/30,1)</f>
        <v>0</v>
      </c>
      <c r="D79" s="5">
        <f>IF(COUNTIF(Funcionarios!$B$2:$B$191,Funcionarios!B69)&gt;0,SUMIFS(Departamentos!$B:$B,Departamentos!$C:$C,Funcionarios!B69)/COUNTIF(Funcionarios!$B$2:$B$191,Funcionarios!B69)*IF(Funcionarios!G69&gt;0,Funcionarios!G69/30,1),0)</f>
        <v>0</v>
      </c>
      <c r="E79" s="5">
        <f>Funcionarios!$F69</f>
        <v>0</v>
      </c>
      <c r="F79" s="5">
        <f>Funcionarios!$E69</f>
        <v>0</v>
      </c>
      <c r="G79" s="5">
        <f t="shared" si="5"/>
        <v>0</v>
      </c>
    </row>
    <row r="80" spans="1:7" x14ac:dyDescent="0.25">
      <c r="A80">
        <f>Funcionarios!A70</f>
        <v>0</v>
      </c>
      <c r="B80">
        <f>Funcionarios!B70</f>
        <v>0</v>
      </c>
      <c r="C80" s="5">
        <f>(IF(AND(Funcionarios!D70&gt;=1,COUNTIF(Funcionarios!$D$2:$D$191,"&gt;=1")&gt;0),(Editavel!$B$17-SUM(Departamentos!$B:$B)-SUM(Funcionarios!$F$2:$F$191))*Editavel!$C$25/COUNTIF(Funcionarios!$D$2:$D$191,"&gt;=1"),0)+IF(AND(Funcionarios!D70&gt;=2,COUNTIF(Funcionarios!$D$2:$D$191,"&gt;=2")&gt;0),(Editavel!$B$17-SUM(Departamentos!$B:$B)-SUM(Funcionarios!$F$2:$F$191))*Editavel!$C$26/COUNTIF(Funcionarios!$D$2:$D$191,"&gt;=2"),0)+IF(AND(Funcionarios!D70&gt;=3,COUNTIF(Funcionarios!$D$2:$D$191,"&gt;=3")&gt;0),(Editavel!$B$17-SUM(Departamentos!$B:$B)-SUM(Funcionarios!$F$2:$F$191))*Editavel!$C$27/COUNTIF(Funcionarios!$D$2:$D$191,"&gt;=3"),0)+IF(AND(Funcionarios!D70&gt;=4,COUNTIF(Funcionarios!$D$2:$D$191,"&gt;=4")&gt;0),(Editavel!$B$17-SUM(Departamentos!$B:$B)-SUM(Funcionarios!$F$2:$F$191))*Editavel!$C$28/COUNTIF(Funcionarios!$D$2:$D$191,"&gt;=4"),0)+IF(AND(Funcionarios!D70&gt;=5,COUNTIF(Funcionarios!$D$2:$D$191,"&gt;=5")&gt;0),(Editavel!$B$17-SUM(Departamentos!$B:$B)-SUM(Funcionarios!$F$2:$F$191))*Editavel!$C$29/COUNTIF(Funcionarios!$D$2:$D$191,"&gt;=5"),0))*IF(Funcionarios!G70&gt;0,Funcionarios!G70/30,1)</f>
        <v>0</v>
      </c>
      <c r="D80" s="5">
        <f>IF(COUNTIF(Funcionarios!$B$2:$B$191,Funcionarios!B70)&gt;0,SUMIFS(Departamentos!$B:$B,Departamentos!$C:$C,Funcionarios!B70)/COUNTIF(Funcionarios!$B$2:$B$191,Funcionarios!B70)*IF(Funcionarios!G70&gt;0,Funcionarios!G70/30,1),0)</f>
        <v>0</v>
      </c>
      <c r="E80" s="5">
        <f>Funcionarios!$F70</f>
        <v>0</v>
      </c>
      <c r="F80" s="5">
        <f>Funcionarios!$E70</f>
        <v>0</v>
      </c>
      <c r="G80" s="5">
        <f t="shared" si="5"/>
        <v>0</v>
      </c>
    </row>
    <row r="81" spans="1:7" x14ac:dyDescent="0.25">
      <c r="A81">
        <f>Funcionarios!A71</f>
        <v>0</v>
      </c>
      <c r="B81">
        <f>Funcionarios!B71</f>
        <v>0</v>
      </c>
      <c r="C81" s="5">
        <f>(IF(AND(Funcionarios!D71&gt;=1,COUNTIF(Funcionarios!$D$2:$D$191,"&gt;=1")&gt;0),(Editavel!$B$17-SUM(Departamentos!$B:$B)-SUM(Funcionarios!$F$2:$F$191))*Editavel!$C$25/COUNTIF(Funcionarios!$D$2:$D$191,"&gt;=1"),0)+IF(AND(Funcionarios!D71&gt;=2,COUNTIF(Funcionarios!$D$2:$D$191,"&gt;=2")&gt;0),(Editavel!$B$17-SUM(Departamentos!$B:$B)-SUM(Funcionarios!$F$2:$F$191))*Editavel!$C$26/COUNTIF(Funcionarios!$D$2:$D$191,"&gt;=2"),0)+IF(AND(Funcionarios!D71&gt;=3,COUNTIF(Funcionarios!$D$2:$D$191,"&gt;=3")&gt;0),(Editavel!$B$17-SUM(Departamentos!$B:$B)-SUM(Funcionarios!$F$2:$F$191))*Editavel!$C$27/COUNTIF(Funcionarios!$D$2:$D$191,"&gt;=3"),0)+IF(AND(Funcionarios!D71&gt;=4,COUNTIF(Funcionarios!$D$2:$D$191,"&gt;=4")&gt;0),(Editavel!$B$17-SUM(Departamentos!$B:$B)-SUM(Funcionarios!$F$2:$F$191))*Editavel!$C$28/COUNTIF(Funcionarios!$D$2:$D$191,"&gt;=4"),0)+IF(AND(Funcionarios!D71&gt;=5,COUNTIF(Funcionarios!$D$2:$D$191,"&gt;=5")&gt;0),(Editavel!$B$17-SUM(Departamentos!$B:$B)-SUM(Funcionarios!$F$2:$F$191))*Editavel!$C$29/COUNTIF(Funcionarios!$D$2:$D$191,"&gt;=5"),0))*IF(Funcionarios!G71&gt;0,Funcionarios!G71/30,1)</f>
        <v>0</v>
      </c>
      <c r="D81" s="5">
        <f>IF(COUNTIF(Funcionarios!$B$2:$B$191,Funcionarios!B71)&gt;0,SUMIFS(Departamentos!$B:$B,Departamentos!$C:$C,Funcionarios!B71)/COUNTIF(Funcionarios!$B$2:$B$191,Funcionarios!B71)*IF(Funcionarios!G71&gt;0,Funcionarios!G71/30,1),0)</f>
        <v>0</v>
      </c>
      <c r="E81" s="5">
        <f>Funcionarios!$F71</f>
        <v>0</v>
      </c>
      <c r="F81" s="5">
        <f>Funcionarios!$E71</f>
        <v>0</v>
      </c>
      <c r="G81" s="5">
        <f t="shared" si="5"/>
        <v>0</v>
      </c>
    </row>
    <row r="82" spans="1:7" x14ac:dyDescent="0.25">
      <c r="A82">
        <f>Funcionarios!A72</f>
        <v>0</v>
      </c>
      <c r="B82">
        <f>Funcionarios!B72</f>
        <v>0</v>
      </c>
      <c r="C82" s="5">
        <f>(IF(AND(Funcionarios!D72&gt;=1,COUNTIF(Funcionarios!$D$2:$D$191,"&gt;=1")&gt;0),(Editavel!$B$17-SUM(Departamentos!$B:$B)-SUM(Funcionarios!$F$2:$F$191))*Editavel!$C$25/COUNTIF(Funcionarios!$D$2:$D$191,"&gt;=1"),0)+IF(AND(Funcionarios!D72&gt;=2,COUNTIF(Funcionarios!$D$2:$D$191,"&gt;=2")&gt;0),(Editavel!$B$17-SUM(Departamentos!$B:$B)-SUM(Funcionarios!$F$2:$F$191))*Editavel!$C$26/COUNTIF(Funcionarios!$D$2:$D$191,"&gt;=2"),0)+IF(AND(Funcionarios!D72&gt;=3,COUNTIF(Funcionarios!$D$2:$D$191,"&gt;=3")&gt;0),(Editavel!$B$17-SUM(Departamentos!$B:$B)-SUM(Funcionarios!$F$2:$F$191))*Editavel!$C$27/COUNTIF(Funcionarios!$D$2:$D$191,"&gt;=3"),0)+IF(AND(Funcionarios!D72&gt;=4,COUNTIF(Funcionarios!$D$2:$D$191,"&gt;=4")&gt;0),(Editavel!$B$17-SUM(Departamentos!$B:$B)-SUM(Funcionarios!$F$2:$F$191))*Editavel!$C$28/COUNTIF(Funcionarios!$D$2:$D$191,"&gt;=4"),0)+IF(AND(Funcionarios!D72&gt;=5,COUNTIF(Funcionarios!$D$2:$D$191,"&gt;=5")&gt;0),(Editavel!$B$17-SUM(Departamentos!$B:$B)-SUM(Funcionarios!$F$2:$F$191))*Editavel!$C$29/COUNTIF(Funcionarios!$D$2:$D$191,"&gt;=5"),0))*IF(Funcionarios!G72&gt;0,Funcionarios!G72/30,1)</f>
        <v>0</v>
      </c>
      <c r="D82" s="5">
        <f>IF(COUNTIF(Funcionarios!$B$2:$B$191,Funcionarios!B72)&gt;0,SUMIFS(Departamentos!$B:$B,Departamentos!$C:$C,Funcionarios!B72)/COUNTIF(Funcionarios!$B$2:$B$191,Funcionarios!B72)*IF(Funcionarios!G72&gt;0,Funcionarios!G72/30,1),0)</f>
        <v>0</v>
      </c>
      <c r="E82" s="5">
        <f>Funcionarios!$F72</f>
        <v>0</v>
      </c>
      <c r="F82" s="5">
        <f>Funcionarios!$E72</f>
        <v>0</v>
      </c>
      <c r="G82" s="5">
        <f t="shared" si="5"/>
        <v>0</v>
      </c>
    </row>
    <row r="83" spans="1:7" x14ac:dyDescent="0.25">
      <c r="A83">
        <f>Funcionarios!A73</f>
        <v>0</v>
      </c>
      <c r="B83">
        <f>Funcionarios!B73</f>
        <v>0</v>
      </c>
      <c r="C83" s="5">
        <f>(IF(AND(Funcionarios!D73&gt;=1,COUNTIF(Funcionarios!$D$2:$D$191,"&gt;=1")&gt;0),(Editavel!$B$17-SUM(Departamentos!$B:$B)-SUM(Funcionarios!$F$2:$F$191))*Editavel!$C$25/COUNTIF(Funcionarios!$D$2:$D$191,"&gt;=1"),0)+IF(AND(Funcionarios!D73&gt;=2,COUNTIF(Funcionarios!$D$2:$D$191,"&gt;=2")&gt;0),(Editavel!$B$17-SUM(Departamentos!$B:$B)-SUM(Funcionarios!$F$2:$F$191))*Editavel!$C$26/COUNTIF(Funcionarios!$D$2:$D$191,"&gt;=2"),0)+IF(AND(Funcionarios!D73&gt;=3,COUNTIF(Funcionarios!$D$2:$D$191,"&gt;=3")&gt;0),(Editavel!$B$17-SUM(Departamentos!$B:$B)-SUM(Funcionarios!$F$2:$F$191))*Editavel!$C$27/COUNTIF(Funcionarios!$D$2:$D$191,"&gt;=3"),0)+IF(AND(Funcionarios!D73&gt;=4,COUNTIF(Funcionarios!$D$2:$D$191,"&gt;=4")&gt;0),(Editavel!$B$17-SUM(Departamentos!$B:$B)-SUM(Funcionarios!$F$2:$F$191))*Editavel!$C$28/COUNTIF(Funcionarios!$D$2:$D$191,"&gt;=4"),0)+IF(AND(Funcionarios!D73&gt;=5,COUNTIF(Funcionarios!$D$2:$D$191,"&gt;=5")&gt;0),(Editavel!$B$17-SUM(Departamentos!$B:$B)-SUM(Funcionarios!$F$2:$F$191))*Editavel!$C$29/COUNTIF(Funcionarios!$D$2:$D$191,"&gt;=5"),0))*IF(Funcionarios!G73&gt;0,Funcionarios!G73/30,1)</f>
        <v>0</v>
      </c>
      <c r="D83" s="5">
        <f>IF(COUNTIF(Funcionarios!$B$2:$B$191,Funcionarios!B73)&gt;0,SUMIFS(Departamentos!$B:$B,Departamentos!$C:$C,Funcionarios!B73)/COUNTIF(Funcionarios!$B$2:$B$191,Funcionarios!B73)*IF(Funcionarios!G73&gt;0,Funcionarios!G73/30,1),0)</f>
        <v>0</v>
      </c>
      <c r="E83" s="5">
        <f>Funcionarios!$F73</f>
        <v>0</v>
      </c>
      <c r="F83" s="5">
        <f>Funcionarios!$E73</f>
        <v>0</v>
      </c>
      <c r="G83" s="5">
        <f t="shared" si="5"/>
        <v>0</v>
      </c>
    </row>
    <row r="84" spans="1:7" x14ac:dyDescent="0.25">
      <c r="A84">
        <f>Funcionarios!A74</f>
        <v>0</v>
      </c>
      <c r="B84">
        <f>Funcionarios!B74</f>
        <v>0</v>
      </c>
      <c r="C84" s="5">
        <f>(IF(AND(Funcionarios!D74&gt;=1,COUNTIF(Funcionarios!$D$2:$D$191,"&gt;=1")&gt;0),(Editavel!$B$17-SUM(Departamentos!$B:$B)-SUM(Funcionarios!$F$2:$F$191))*Editavel!$C$25/COUNTIF(Funcionarios!$D$2:$D$191,"&gt;=1"),0)+IF(AND(Funcionarios!D74&gt;=2,COUNTIF(Funcionarios!$D$2:$D$191,"&gt;=2")&gt;0),(Editavel!$B$17-SUM(Departamentos!$B:$B)-SUM(Funcionarios!$F$2:$F$191))*Editavel!$C$26/COUNTIF(Funcionarios!$D$2:$D$191,"&gt;=2"),0)+IF(AND(Funcionarios!D74&gt;=3,COUNTIF(Funcionarios!$D$2:$D$191,"&gt;=3")&gt;0),(Editavel!$B$17-SUM(Departamentos!$B:$B)-SUM(Funcionarios!$F$2:$F$191))*Editavel!$C$27/COUNTIF(Funcionarios!$D$2:$D$191,"&gt;=3"),0)+IF(AND(Funcionarios!D74&gt;=4,COUNTIF(Funcionarios!$D$2:$D$191,"&gt;=4")&gt;0),(Editavel!$B$17-SUM(Departamentos!$B:$B)-SUM(Funcionarios!$F$2:$F$191))*Editavel!$C$28/COUNTIF(Funcionarios!$D$2:$D$191,"&gt;=4"),0)+IF(AND(Funcionarios!D74&gt;=5,COUNTIF(Funcionarios!$D$2:$D$191,"&gt;=5")&gt;0),(Editavel!$B$17-SUM(Departamentos!$B:$B)-SUM(Funcionarios!$F$2:$F$191))*Editavel!$C$29/COUNTIF(Funcionarios!$D$2:$D$191,"&gt;=5"),0))*IF(Funcionarios!G74&gt;0,Funcionarios!G74/30,1)</f>
        <v>0</v>
      </c>
      <c r="D84" s="5">
        <f>IF(COUNTIF(Funcionarios!$B$2:$B$191,Funcionarios!B74)&gt;0,SUMIFS(Departamentos!$B:$B,Departamentos!$C:$C,Funcionarios!B74)/COUNTIF(Funcionarios!$B$2:$B$191,Funcionarios!B74)*IF(Funcionarios!G74&gt;0,Funcionarios!G74/30,1),0)</f>
        <v>0</v>
      </c>
      <c r="E84" s="5">
        <f>Funcionarios!$F74</f>
        <v>0</v>
      </c>
      <c r="F84" s="5">
        <f>Funcionarios!$E74</f>
        <v>0</v>
      </c>
      <c r="G84" s="5">
        <f t="shared" si="5"/>
        <v>0</v>
      </c>
    </row>
    <row r="85" spans="1:7" x14ac:dyDescent="0.25">
      <c r="A85">
        <f>Funcionarios!A75</f>
        <v>0</v>
      </c>
      <c r="B85">
        <f>Funcionarios!B75</f>
        <v>0</v>
      </c>
      <c r="C85" s="5">
        <f>(IF(AND(Funcionarios!D75&gt;=1,COUNTIF(Funcionarios!$D$2:$D$191,"&gt;=1")&gt;0),(Editavel!$B$17-SUM(Departamentos!$B:$B)-SUM(Funcionarios!$F$2:$F$191))*Editavel!$C$25/COUNTIF(Funcionarios!$D$2:$D$191,"&gt;=1"),0)+IF(AND(Funcionarios!D75&gt;=2,COUNTIF(Funcionarios!$D$2:$D$191,"&gt;=2")&gt;0),(Editavel!$B$17-SUM(Departamentos!$B:$B)-SUM(Funcionarios!$F$2:$F$191))*Editavel!$C$26/COUNTIF(Funcionarios!$D$2:$D$191,"&gt;=2"),0)+IF(AND(Funcionarios!D75&gt;=3,COUNTIF(Funcionarios!$D$2:$D$191,"&gt;=3")&gt;0),(Editavel!$B$17-SUM(Departamentos!$B:$B)-SUM(Funcionarios!$F$2:$F$191))*Editavel!$C$27/COUNTIF(Funcionarios!$D$2:$D$191,"&gt;=3"),0)+IF(AND(Funcionarios!D75&gt;=4,COUNTIF(Funcionarios!$D$2:$D$191,"&gt;=4")&gt;0),(Editavel!$B$17-SUM(Departamentos!$B:$B)-SUM(Funcionarios!$F$2:$F$191))*Editavel!$C$28/COUNTIF(Funcionarios!$D$2:$D$191,"&gt;=4"),0)+IF(AND(Funcionarios!D75&gt;=5,COUNTIF(Funcionarios!$D$2:$D$191,"&gt;=5")&gt;0),(Editavel!$B$17-SUM(Departamentos!$B:$B)-SUM(Funcionarios!$F$2:$F$191))*Editavel!$C$29/COUNTIF(Funcionarios!$D$2:$D$191,"&gt;=5"),0))*IF(Funcionarios!G75&gt;0,Funcionarios!G75/30,1)</f>
        <v>0</v>
      </c>
      <c r="D85" s="5">
        <f>IF(COUNTIF(Funcionarios!$B$2:$B$191,Funcionarios!B75)&gt;0,SUMIFS(Departamentos!$B:$B,Departamentos!$C:$C,Funcionarios!B75)/COUNTIF(Funcionarios!$B$2:$B$191,Funcionarios!B75)*IF(Funcionarios!G75&gt;0,Funcionarios!G75/30,1),0)</f>
        <v>0</v>
      </c>
      <c r="E85" s="5">
        <f>Funcionarios!$F75</f>
        <v>0</v>
      </c>
      <c r="F85" s="5">
        <f>Funcionarios!$E75</f>
        <v>0</v>
      </c>
      <c r="G85" s="5">
        <f t="shared" si="5"/>
        <v>0</v>
      </c>
    </row>
    <row r="86" spans="1:7" x14ac:dyDescent="0.25">
      <c r="A86">
        <f>Funcionarios!A76</f>
        <v>0</v>
      </c>
      <c r="B86">
        <f>Funcionarios!B76</f>
        <v>0</v>
      </c>
      <c r="C86" s="5">
        <f>(IF(AND(Funcionarios!D76&gt;=1,COUNTIF(Funcionarios!$D$2:$D$191,"&gt;=1")&gt;0),(Editavel!$B$17-SUM(Departamentos!$B:$B)-SUM(Funcionarios!$F$2:$F$191))*Editavel!$C$25/COUNTIF(Funcionarios!$D$2:$D$191,"&gt;=1"),0)+IF(AND(Funcionarios!D76&gt;=2,COUNTIF(Funcionarios!$D$2:$D$191,"&gt;=2")&gt;0),(Editavel!$B$17-SUM(Departamentos!$B:$B)-SUM(Funcionarios!$F$2:$F$191))*Editavel!$C$26/COUNTIF(Funcionarios!$D$2:$D$191,"&gt;=2"),0)+IF(AND(Funcionarios!D76&gt;=3,COUNTIF(Funcionarios!$D$2:$D$191,"&gt;=3")&gt;0),(Editavel!$B$17-SUM(Departamentos!$B:$B)-SUM(Funcionarios!$F$2:$F$191))*Editavel!$C$27/COUNTIF(Funcionarios!$D$2:$D$191,"&gt;=3"),0)+IF(AND(Funcionarios!D76&gt;=4,COUNTIF(Funcionarios!$D$2:$D$191,"&gt;=4")&gt;0),(Editavel!$B$17-SUM(Departamentos!$B:$B)-SUM(Funcionarios!$F$2:$F$191))*Editavel!$C$28/COUNTIF(Funcionarios!$D$2:$D$191,"&gt;=4"),0)+IF(AND(Funcionarios!D76&gt;=5,COUNTIF(Funcionarios!$D$2:$D$191,"&gt;=5")&gt;0),(Editavel!$B$17-SUM(Departamentos!$B:$B)-SUM(Funcionarios!$F$2:$F$191))*Editavel!$C$29/COUNTIF(Funcionarios!$D$2:$D$191,"&gt;=5"),0))*IF(Funcionarios!G76&gt;0,Funcionarios!G76/30,1)</f>
        <v>0</v>
      </c>
      <c r="D86" s="5">
        <f>IF(COUNTIF(Funcionarios!$B$2:$B$191,Funcionarios!B76)&gt;0,SUMIFS(Departamentos!$B:$B,Departamentos!$C:$C,Funcionarios!B76)/COUNTIF(Funcionarios!$B$2:$B$191,Funcionarios!B76)*IF(Funcionarios!G76&gt;0,Funcionarios!G76/30,1),0)</f>
        <v>0</v>
      </c>
      <c r="E86" s="5">
        <f>Funcionarios!$F76</f>
        <v>0</v>
      </c>
      <c r="F86" s="5">
        <f>Funcionarios!$E76</f>
        <v>0</v>
      </c>
      <c r="G86" s="5">
        <f t="shared" si="5"/>
        <v>0</v>
      </c>
    </row>
    <row r="87" spans="1:7" x14ac:dyDescent="0.25">
      <c r="A87">
        <f>Funcionarios!A77</f>
        <v>0</v>
      </c>
      <c r="B87">
        <f>Funcionarios!B77</f>
        <v>0</v>
      </c>
      <c r="C87" s="5">
        <f>(IF(AND(Funcionarios!D77&gt;=1,COUNTIF(Funcionarios!$D$2:$D$191,"&gt;=1")&gt;0),(Editavel!$B$17-SUM(Departamentos!$B:$B)-SUM(Funcionarios!$F$2:$F$191))*Editavel!$C$25/COUNTIF(Funcionarios!$D$2:$D$191,"&gt;=1"),0)+IF(AND(Funcionarios!D77&gt;=2,COUNTIF(Funcionarios!$D$2:$D$191,"&gt;=2")&gt;0),(Editavel!$B$17-SUM(Departamentos!$B:$B)-SUM(Funcionarios!$F$2:$F$191))*Editavel!$C$26/COUNTIF(Funcionarios!$D$2:$D$191,"&gt;=2"),0)+IF(AND(Funcionarios!D77&gt;=3,COUNTIF(Funcionarios!$D$2:$D$191,"&gt;=3")&gt;0),(Editavel!$B$17-SUM(Departamentos!$B:$B)-SUM(Funcionarios!$F$2:$F$191))*Editavel!$C$27/COUNTIF(Funcionarios!$D$2:$D$191,"&gt;=3"),0)+IF(AND(Funcionarios!D77&gt;=4,COUNTIF(Funcionarios!$D$2:$D$191,"&gt;=4")&gt;0),(Editavel!$B$17-SUM(Departamentos!$B:$B)-SUM(Funcionarios!$F$2:$F$191))*Editavel!$C$28/COUNTIF(Funcionarios!$D$2:$D$191,"&gt;=4"),0)+IF(AND(Funcionarios!D77&gt;=5,COUNTIF(Funcionarios!$D$2:$D$191,"&gt;=5")&gt;0),(Editavel!$B$17-SUM(Departamentos!$B:$B)-SUM(Funcionarios!$F$2:$F$191))*Editavel!$C$29/COUNTIF(Funcionarios!$D$2:$D$191,"&gt;=5"),0))*IF(Funcionarios!G77&gt;0,Funcionarios!G77/30,1)</f>
        <v>0</v>
      </c>
      <c r="D87" s="5">
        <f>IF(COUNTIF(Funcionarios!$B$2:$B$191,Funcionarios!B77)&gt;0,SUMIFS(Departamentos!$B:$B,Departamentos!$C:$C,Funcionarios!B77)/COUNTIF(Funcionarios!$B$2:$B$191,Funcionarios!B77)*IF(Funcionarios!G77&gt;0,Funcionarios!G77/30,1),0)</f>
        <v>0</v>
      </c>
      <c r="E87" s="5">
        <f>Funcionarios!$F77</f>
        <v>0</v>
      </c>
      <c r="F87" s="5">
        <f>Funcionarios!$E77</f>
        <v>0</v>
      </c>
      <c r="G87" s="5">
        <f t="shared" si="5"/>
        <v>0</v>
      </c>
    </row>
    <row r="88" spans="1:7" x14ac:dyDescent="0.25">
      <c r="A88">
        <f>Funcionarios!A78</f>
        <v>0</v>
      </c>
      <c r="B88">
        <f>Funcionarios!B78</f>
        <v>0</v>
      </c>
      <c r="C88" s="5">
        <f>(IF(AND(Funcionarios!D78&gt;=1,COUNTIF(Funcionarios!$D$2:$D$191,"&gt;=1")&gt;0),(Editavel!$B$17-SUM(Departamentos!$B:$B)-SUM(Funcionarios!$F$2:$F$191))*Editavel!$C$25/COUNTIF(Funcionarios!$D$2:$D$191,"&gt;=1"),0)+IF(AND(Funcionarios!D78&gt;=2,COUNTIF(Funcionarios!$D$2:$D$191,"&gt;=2")&gt;0),(Editavel!$B$17-SUM(Departamentos!$B:$B)-SUM(Funcionarios!$F$2:$F$191))*Editavel!$C$26/COUNTIF(Funcionarios!$D$2:$D$191,"&gt;=2"),0)+IF(AND(Funcionarios!D78&gt;=3,COUNTIF(Funcionarios!$D$2:$D$191,"&gt;=3")&gt;0),(Editavel!$B$17-SUM(Departamentos!$B:$B)-SUM(Funcionarios!$F$2:$F$191))*Editavel!$C$27/COUNTIF(Funcionarios!$D$2:$D$191,"&gt;=3"),0)+IF(AND(Funcionarios!D78&gt;=4,COUNTIF(Funcionarios!$D$2:$D$191,"&gt;=4")&gt;0),(Editavel!$B$17-SUM(Departamentos!$B:$B)-SUM(Funcionarios!$F$2:$F$191))*Editavel!$C$28/COUNTIF(Funcionarios!$D$2:$D$191,"&gt;=4"),0)+IF(AND(Funcionarios!D78&gt;=5,COUNTIF(Funcionarios!$D$2:$D$191,"&gt;=5")&gt;0),(Editavel!$B$17-SUM(Departamentos!$B:$B)-SUM(Funcionarios!$F$2:$F$191))*Editavel!$C$29/COUNTIF(Funcionarios!$D$2:$D$191,"&gt;=5"),0))*IF(Funcionarios!G78&gt;0,Funcionarios!G78/30,1)</f>
        <v>0</v>
      </c>
      <c r="D88" s="5">
        <f>IF(COUNTIF(Funcionarios!$B$2:$B$191,Funcionarios!B78)&gt;0,SUMIFS(Departamentos!$B:$B,Departamentos!$C:$C,Funcionarios!B78)/COUNTIF(Funcionarios!$B$2:$B$191,Funcionarios!B78)*IF(Funcionarios!G78&gt;0,Funcionarios!G78/30,1),0)</f>
        <v>0</v>
      </c>
      <c r="E88" s="5">
        <f>Funcionarios!$F78</f>
        <v>0</v>
      </c>
      <c r="F88" s="5">
        <f>Funcionarios!$E78</f>
        <v>0</v>
      </c>
      <c r="G88" s="5">
        <f t="shared" si="5"/>
        <v>0</v>
      </c>
    </row>
    <row r="89" spans="1:7" x14ac:dyDescent="0.25">
      <c r="A89">
        <f>Funcionarios!A79</f>
        <v>0</v>
      </c>
      <c r="B89">
        <f>Funcionarios!B79</f>
        <v>0</v>
      </c>
      <c r="C89" s="5">
        <f>(IF(AND(Funcionarios!D79&gt;=1,COUNTIF(Funcionarios!$D$2:$D$191,"&gt;=1")&gt;0),(Editavel!$B$17-SUM(Departamentos!$B:$B)-SUM(Funcionarios!$F$2:$F$191))*Editavel!$C$25/COUNTIF(Funcionarios!$D$2:$D$191,"&gt;=1"),0)+IF(AND(Funcionarios!D79&gt;=2,COUNTIF(Funcionarios!$D$2:$D$191,"&gt;=2")&gt;0),(Editavel!$B$17-SUM(Departamentos!$B:$B)-SUM(Funcionarios!$F$2:$F$191))*Editavel!$C$26/COUNTIF(Funcionarios!$D$2:$D$191,"&gt;=2"),0)+IF(AND(Funcionarios!D79&gt;=3,COUNTIF(Funcionarios!$D$2:$D$191,"&gt;=3")&gt;0),(Editavel!$B$17-SUM(Departamentos!$B:$B)-SUM(Funcionarios!$F$2:$F$191))*Editavel!$C$27/COUNTIF(Funcionarios!$D$2:$D$191,"&gt;=3"),0)+IF(AND(Funcionarios!D79&gt;=4,COUNTIF(Funcionarios!$D$2:$D$191,"&gt;=4")&gt;0),(Editavel!$B$17-SUM(Departamentos!$B:$B)-SUM(Funcionarios!$F$2:$F$191))*Editavel!$C$28/COUNTIF(Funcionarios!$D$2:$D$191,"&gt;=4"),0)+IF(AND(Funcionarios!D79&gt;=5,COUNTIF(Funcionarios!$D$2:$D$191,"&gt;=5")&gt;0),(Editavel!$B$17-SUM(Departamentos!$B:$B)-SUM(Funcionarios!$F$2:$F$191))*Editavel!$C$29/COUNTIF(Funcionarios!$D$2:$D$191,"&gt;=5"),0))*IF(Funcionarios!G79&gt;0,Funcionarios!G79/30,1)</f>
        <v>0</v>
      </c>
      <c r="D89" s="5">
        <f>IF(COUNTIF(Funcionarios!$B$2:$B$191,Funcionarios!B79)&gt;0,SUMIFS(Departamentos!$B:$B,Departamentos!$C:$C,Funcionarios!B79)/COUNTIF(Funcionarios!$B$2:$B$191,Funcionarios!B79)*IF(Funcionarios!G79&gt;0,Funcionarios!G79/30,1),0)</f>
        <v>0</v>
      </c>
      <c r="E89" s="5">
        <f>Funcionarios!$F79</f>
        <v>0</v>
      </c>
      <c r="F89" s="5">
        <f>Funcionarios!$E79</f>
        <v>0</v>
      </c>
      <c r="G89" s="5">
        <f t="shared" si="5"/>
        <v>0</v>
      </c>
    </row>
    <row r="90" spans="1:7" x14ac:dyDescent="0.25">
      <c r="A90">
        <f>Funcionarios!A80</f>
        <v>0</v>
      </c>
      <c r="B90">
        <f>Funcionarios!B80</f>
        <v>0</v>
      </c>
      <c r="C90" s="5">
        <f>(IF(AND(Funcionarios!D80&gt;=1,COUNTIF(Funcionarios!$D$2:$D$191,"&gt;=1")&gt;0),(Editavel!$B$17-SUM(Departamentos!$B:$B)-SUM(Funcionarios!$F$2:$F$191))*Editavel!$C$25/COUNTIF(Funcionarios!$D$2:$D$191,"&gt;=1"),0)+IF(AND(Funcionarios!D80&gt;=2,COUNTIF(Funcionarios!$D$2:$D$191,"&gt;=2")&gt;0),(Editavel!$B$17-SUM(Departamentos!$B:$B)-SUM(Funcionarios!$F$2:$F$191))*Editavel!$C$26/COUNTIF(Funcionarios!$D$2:$D$191,"&gt;=2"),0)+IF(AND(Funcionarios!D80&gt;=3,COUNTIF(Funcionarios!$D$2:$D$191,"&gt;=3")&gt;0),(Editavel!$B$17-SUM(Departamentos!$B:$B)-SUM(Funcionarios!$F$2:$F$191))*Editavel!$C$27/COUNTIF(Funcionarios!$D$2:$D$191,"&gt;=3"),0)+IF(AND(Funcionarios!D80&gt;=4,COUNTIF(Funcionarios!$D$2:$D$191,"&gt;=4")&gt;0),(Editavel!$B$17-SUM(Departamentos!$B:$B)-SUM(Funcionarios!$F$2:$F$191))*Editavel!$C$28/COUNTIF(Funcionarios!$D$2:$D$191,"&gt;=4"),0)+IF(AND(Funcionarios!D80&gt;=5,COUNTIF(Funcionarios!$D$2:$D$191,"&gt;=5")&gt;0),(Editavel!$B$17-SUM(Departamentos!$B:$B)-SUM(Funcionarios!$F$2:$F$191))*Editavel!$C$29/COUNTIF(Funcionarios!$D$2:$D$191,"&gt;=5"),0))*IF(Funcionarios!G80&gt;0,Funcionarios!G80/30,1)</f>
        <v>0</v>
      </c>
      <c r="D90" s="5">
        <f>IF(COUNTIF(Funcionarios!$B$2:$B$191,Funcionarios!B80)&gt;0,SUMIFS(Departamentos!$B:$B,Departamentos!$C:$C,Funcionarios!B80)/COUNTIF(Funcionarios!$B$2:$B$191,Funcionarios!B80)*IF(Funcionarios!G80&gt;0,Funcionarios!G80/30,1),0)</f>
        <v>0</v>
      </c>
      <c r="E90" s="5">
        <f>Funcionarios!$F80</f>
        <v>0</v>
      </c>
      <c r="F90" s="5">
        <f>Funcionarios!$E80</f>
        <v>0</v>
      </c>
      <c r="G90" s="5">
        <f t="shared" si="5"/>
        <v>0</v>
      </c>
    </row>
    <row r="91" spans="1:7" x14ac:dyDescent="0.25">
      <c r="A91">
        <f>Funcionarios!A81</f>
        <v>0</v>
      </c>
      <c r="B91">
        <f>Funcionarios!B81</f>
        <v>0</v>
      </c>
      <c r="C91" s="5">
        <f>(IF(AND(Funcionarios!D81&gt;=1,COUNTIF(Funcionarios!$D$2:$D$191,"&gt;=1")&gt;0),(Editavel!$B$17-SUM(Departamentos!$B:$B)-SUM(Funcionarios!$F$2:$F$191))*Editavel!$C$25/COUNTIF(Funcionarios!$D$2:$D$191,"&gt;=1"),0)+IF(AND(Funcionarios!D81&gt;=2,COUNTIF(Funcionarios!$D$2:$D$191,"&gt;=2")&gt;0),(Editavel!$B$17-SUM(Departamentos!$B:$B)-SUM(Funcionarios!$F$2:$F$191))*Editavel!$C$26/COUNTIF(Funcionarios!$D$2:$D$191,"&gt;=2"),0)+IF(AND(Funcionarios!D81&gt;=3,COUNTIF(Funcionarios!$D$2:$D$191,"&gt;=3")&gt;0),(Editavel!$B$17-SUM(Departamentos!$B:$B)-SUM(Funcionarios!$F$2:$F$191))*Editavel!$C$27/COUNTIF(Funcionarios!$D$2:$D$191,"&gt;=3"),0)+IF(AND(Funcionarios!D81&gt;=4,COUNTIF(Funcionarios!$D$2:$D$191,"&gt;=4")&gt;0),(Editavel!$B$17-SUM(Departamentos!$B:$B)-SUM(Funcionarios!$F$2:$F$191))*Editavel!$C$28/COUNTIF(Funcionarios!$D$2:$D$191,"&gt;=4"),0)+IF(AND(Funcionarios!D81&gt;=5,COUNTIF(Funcionarios!$D$2:$D$191,"&gt;=5")&gt;0),(Editavel!$B$17-SUM(Departamentos!$B:$B)-SUM(Funcionarios!$F$2:$F$191))*Editavel!$C$29/COUNTIF(Funcionarios!$D$2:$D$191,"&gt;=5"),0))*IF(Funcionarios!G81&gt;0,Funcionarios!G81/30,1)</f>
        <v>0</v>
      </c>
      <c r="D91" s="5">
        <f>IF(COUNTIF(Funcionarios!$B$2:$B$191,Funcionarios!B81)&gt;0,SUMIFS(Departamentos!$B:$B,Departamentos!$C:$C,Funcionarios!B81)/COUNTIF(Funcionarios!$B$2:$B$191,Funcionarios!B81)*IF(Funcionarios!G81&gt;0,Funcionarios!G81/30,1),0)</f>
        <v>0</v>
      </c>
      <c r="E91" s="5">
        <f>Funcionarios!$F81</f>
        <v>0</v>
      </c>
      <c r="F91" s="5">
        <f>Funcionarios!$E81</f>
        <v>0</v>
      </c>
      <c r="G91" s="5">
        <f t="shared" si="5"/>
        <v>0</v>
      </c>
    </row>
    <row r="92" spans="1:7" x14ac:dyDescent="0.25">
      <c r="A92">
        <f>Funcionarios!A82</f>
        <v>0</v>
      </c>
      <c r="B92">
        <f>Funcionarios!B82</f>
        <v>0</v>
      </c>
      <c r="C92" s="5">
        <f>(IF(AND(Funcionarios!D82&gt;=1,COUNTIF(Funcionarios!$D$2:$D$191,"&gt;=1")&gt;0),(Editavel!$B$17-SUM(Departamentos!$B:$B)-SUM(Funcionarios!$F$2:$F$191))*Editavel!$C$25/COUNTIF(Funcionarios!$D$2:$D$191,"&gt;=1"),0)+IF(AND(Funcionarios!D82&gt;=2,COUNTIF(Funcionarios!$D$2:$D$191,"&gt;=2")&gt;0),(Editavel!$B$17-SUM(Departamentos!$B:$B)-SUM(Funcionarios!$F$2:$F$191))*Editavel!$C$26/COUNTIF(Funcionarios!$D$2:$D$191,"&gt;=2"),0)+IF(AND(Funcionarios!D82&gt;=3,COUNTIF(Funcionarios!$D$2:$D$191,"&gt;=3")&gt;0),(Editavel!$B$17-SUM(Departamentos!$B:$B)-SUM(Funcionarios!$F$2:$F$191))*Editavel!$C$27/COUNTIF(Funcionarios!$D$2:$D$191,"&gt;=3"),0)+IF(AND(Funcionarios!D82&gt;=4,COUNTIF(Funcionarios!$D$2:$D$191,"&gt;=4")&gt;0),(Editavel!$B$17-SUM(Departamentos!$B:$B)-SUM(Funcionarios!$F$2:$F$191))*Editavel!$C$28/COUNTIF(Funcionarios!$D$2:$D$191,"&gt;=4"),0)+IF(AND(Funcionarios!D82&gt;=5,COUNTIF(Funcionarios!$D$2:$D$191,"&gt;=5")&gt;0),(Editavel!$B$17-SUM(Departamentos!$B:$B)-SUM(Funcionarios!$F$2:$F$191))*Editavel!$C$29/COUNTIF(Funcionarios!$D$2:$D$191,"&gt;=5"),0))*IF(Funcionarios!G82&gt;0,Funcionarios!G82/30,1)</f>
        <v>0</v>
      </c>
      <c r="D92" s="5">
        <f>IF(COUNTIF(Funcionarios!$B$2:$B$191,Funcionarios!B82)&gt;0,SUMIFS(Departamentos!$B:$B,Departamentos!$C:$C,Funcionarios!B82)/COUNTIF(Funcionarios!$B$2:$B$191,Funcionarios!B82)*IF(Funcionarios!G82&gt;0,Funcionarios!G82/30,1),0)</f>
        <v>0</v>
      </c>
      <c r="E92" s="5">
        <f>Funcionarios!$F82</f>
        <v>0</v>
      </c>
      <c r="F92" s="5">
        <f>Funcionarios!$E82</f>
        <v>0</v>
      </c>
      <c r="G92" s="5">
        <f t="shared" si="5"/>
        <v>0</v>
      </c>
    </row>
    <row r="93" spans="1:7" x14ac:dyDescent="0.25">
      <c r="A93">
        <f>Funcionarios!A83</f>
        <v>0</v>
      </c>
      <c r="B93">
        <f>Funcionarios!B83</f>
        <v>0</v>
      </c>
      <c r="C93" s="5">
        <f>(IF(AND(Funcionarios!D83&gt;=1,COUNTIF(Funcionarios!$D$2:$D$191,"&gt;=1")&gt;0),(Editavel!$B$17-SUM(Departamentos!$B:$B)-SUM(Funcionarios!$F$2:$F$191))*Editavel!$C$25/COUNTIF(Funcionarios!$D$2:$D$191,"&gt;=1"),0)+IF(AND(Funcionarios!D83&gt;=2,COUNTIF(Funcionarios!$D$2:$D$191,"&gt;=2")&gt;0),(Editavel!$B$17-SUM(Departamentos!$B:$B)-SUM(Funcionarios!$F$2:$F$191))*Editavel!$C$26/COUNTIF(Funcionarios!$D$2:$D$191,"&gt;=2"),0)+IF(AND(Funcionarios!D83&gt;=3,COUNTIF(Funcionarios!$D$2:$D$191,"&gt;=3")&gt;0),(Editavel!$B$17-SUM(Departamentos!$B:$B)-SUM(Funcionarios!$F$2:$F$191))*Editavel!$C$27/COUNTIF(Funcionarios!$D$2:$D$191,"&gt;=3"),0)+IF(AND(Funcionarios!D83&gt;=4,COUNTIF(Funcionarios!$D$2:$D$191,"&gt;=4")&gt;0),(Editavel!$B$17-SUM(Departamentos!$B:$B)-SUM(Funcionarios!$F$2:$F$191))*Editavel!$C$28/COUNTIF(Funcionarios!$D$2:$D$191,"&gt;=4"),0)+IF(AND(Funcionarios!D83&gt;=5,COUNTIF(Funcionarios!$D$2:$D$191,"&gt;=5")&gt;0),(Editavel!$B$17-SUM(Departamentos!$B:$B)-SUM(Funcionarios!$F$2:$F$191))*Editavel!$C$29/COUNTIF(Funcionarios!$D$2:$D$191,"&gt;=5"),0))*IF(Funcionarios!G83&gt;0,Funcionarios!G83/30,1)</f>
        <v>0</v>
      </c>
      <c r="D93" s="5">
        <f>IF(COUNTIF(Funcionarios!$B$2:$B$191,Funcionarios!B83)&gt;0,SUMIFS(Departamentos!$B:$B,Departamentos!$C:$C,Funcionarios!B83)/COUNTIF(Funcionarios!$B$2:$B$191,Funcionarios!B83)*IF(Funcionarios!G83&gt;0,Funcionarios!G83/30,1),0)</f>
        <v>0</v>
      </c>
      <c r="E93" s="5">
        <f>Funcionarios!$F83</f>
        <v>0</v>
      </c>
      <c r="F93" s="5">
        <f>Funcionarios!$E83</f>
        <v>0</v>
      </c>
      <c r="G93" s="5">
        <f t="shared" si="5"/>
        <v>0</v>
      </c>
    </row>
    <row r="94" spans="1:7" x14ac:dyDescent="0.25">
      <c r="A94">
        <f>Funcionarios!A84</f>
        <v>0</v>
      </c>
      <c r="B94">
        <f>Funcionarios!B84</f>
        <v>0</v>
      </c>
      <c r="C94" s="5">
        <f>(IF(AND(Funcionarios!D84&gt;=1,COUNTIF(Funcionarios!$D$2:$D$191,"&gt;=1")&gt;0),(Editavel!$B$17-SUM(Departamentos!$B:$B)-SUM(Funcionarios!$F$2:$F$191))*Editavel!$C$25/COUNTIF(Funcionarios!$D$2:$D$191,"&gt;=1"),0)+IF(AND(Funcionarios!D84&gt;=2,COUNTIF(Funcionarios!$D$2:$D$191,"&gt;=2")&gt;0),(Editavel!$B$17-SUM(Departamentos!$B:$B)-SUM(Funcionarios!$F$2:$F$191))*Editavel!$C$26/COUNTIF(Funcionarios!$D$2:$D$191,"&gt;=2"),0)+IF(AND(Funcionarios!D84&gt;=3,COUNTIF(Funcionarios!$D$2:$D$191,"&gt;=3")&gt;0),(Editavel!$B$17-SUM(Departamentos!$B:$B)-SUM(Funcionarios!$F$2:$F$191))*Editavel!$C$27/COUNTIF(Funcionarios!$D$2:$D$191,"&gt;=3"),0)+IF(AND(Funcionarios!D84&gt;=4,COUNTIF(Funcionarios!$D$2:$D$191,"&gt;=4")&gt;0),(Editavel!$B$17-SUM(Departamentos!$B:$B)-SUM(Funcionarios!$F$2:$F$191))*Editavel!$C$28/COUNTIF(Funcionarios!$D$2:$D$191,"&gt;=4"),0)+IF(AND(Funcionarios!D84&gt;=5,COUNTIF(Funcionarios!$D$2:$D$191,"&gt;=5")&gt;0),(Editavel!$B$17-SUM(Departamentos!$B:$B)-SUM(Funcionarios!$F$2:$F$191))*Editavel!$C$29/COUNTIF(Funcionarios!$D$2:$D$191,"&gt;=5"),0))*IF(Funcionarios!G84&gt;0,Funcionarios!G84/30,1)</f>
        <v>0</v>
      </c>
      <c r="D94" s="5">
        <f>IF(COUNTIF(Funcionarios!$B$2:$B$191,Funcionarios!B84)&gt;0,SUMIFS(Departamentos!$B:$B,Departamentos!$C:$C,Funcionarios!B84)/COUNTIF(Funcionarios!$B$2:$B$191,Funcionarios!B84)*IF(Funcionarios!G84&gt;0,Funcionarios!G84/30,1),0)</f>
        <v>0</v>
      </c>
      <c r="E94" s="5">
        <f>Funcionarios!$F84</f>
        <v>0</v>
      </c>
      <c r="F94" s="5">
        <f>Funcionarios!$E84</f>
        <v>0</v>
      </c>
      <c r="G94" s="5">
        <f t="shared" si="5"/>
        <v>0</v>
      </c>
    </row>
    <row r="95" spans="1:7" x14ac:dyDescent="0.25">
      <c r="A95">
        <f>Funcionarios!A85</f>
        <v>0</v>
      </c>
      <c r="B95">
        <f>Funcionarios!B85</f>
        <v>0</v>
      </c>
      <c r="C95" s="5">
        <f>(IF(AND(Funcionarios!D85&gt;=1,COUNTIF(Funcionarios!$D$2:$D$191,"&gt;=1")&gt;0),(Editavel!$B$17-SUM(Departamentos!$B:$B)-SUM(Funcionarios!$F$2:$F$191))*Editavel!$C$25/COUNTIF(Funcionarios!$D$2:$D$191,"&gt;=1"),0)+IF(AND(Funcionarios!D85&gt;=2,COUNTIF(Funcionarios!$D$2:$D$191,"&gt;=2")&gt;0),(Editavel!$B$17-SUM(Departamentos!$B:$B)-SUM(Funcionarios!$F$2:$F$191))*Editavel!$C$26/COUNTIF(Funcionarios!$D$2:$D$191,"&gt;=2"),0)+IF(AND(Funcionarios!D85&gt;=3,COUNTIF(Funcionarios!$D$2:$D$191,"&gt;=3")&gt;0),(Editavel!$B$17-SUM(Departamentos!$B:$B)-SUM(Funcionarios!$F$2:$F$191))*Editavel!$C$27/COUNTIF(Funcionarios!$D$2:$D$191,"&gt;=3"),0)+IF(AND(Funcionarios!D85&gt;=4,COUNTIF(Funcionarios!$D$2:$D$191,"&gt;=4")&gt;0),(Editavel!$B$17-SUM(Departamentos!$B:$B)-SUM(Funcionarios!$F$2:$F$191))*Editavel!$C$28/COUNTIF(Funcionarios!$D$2:$D$191,"&gt;=4"),0)+IF(AND(Funcionarios!D85&gt;=5,COUNTIF(Funcionarios!$D$2:$D$191,"&gt;=5")&gt;0),(Editavel!$B$17-SUM(Departamentos!$B:$B)-SUM(Funcionarios!$F$2:$F$191))*Editavel!$C$29/COUNTIF(Funcionarios!$D$2:$D$191,"&gt;=5"),0))*IF(Funcionarios!G85&gt;0,Funcionarios!G85/30,1)</f>
        <v>0</v>
      </c>
      <c r="D95" s="5">
        <f>IF(COUNTIF(Funcionarios!$B$2:$B$191,Funcionarios!B85)&gt;0,SUMIFS(Departamentos!$B:$B,Departamentos!$C:$C,Funcionarios!B85)/COUNTIF(Funcionarios!$B$2:$B$191,Funcionarios!B85)*IF(Funcionarios!G85&gt;0,Funcionarios!G85/30,1),0)</f>
        <v>0</v>
      </c>
      <c r="E95" s="5">
        <f>Funcionarios!$F85</f>
        <v>0</v>
      </c>
      <c r="F95" s="5">
        <f>Funcionarios!$E85</f>
        <v>0</v>
      </c>
      <c r="G95" s="5">
        <f t="shared" si="5"/>
        <v>0</v>
      </c>
    </row>
    <row r="96" spans="1:7" x14ac:dyDescent="0.25">
      <c r="A96">
        <f>Funcionarios!A86</f>
        <v>0</v>
      </c>
      <c r="B96">
        <f>Funcionarios!B86</f>
        <v>0</v>
      </c>
      <c r="C96" s="5">
        <f>(IF(AND(Funcionarios!D86&gt;=1,COUNTIF(Funcionarios!$D$2:$D$191,"&gt;=1")&gt;0),(Editavel!$B$17-SUM(Departamentos!$B:$B)-SUM(Funcionarios!$F$2:$F$191))*Editavel!$C$25/COUNTIF(Funcionarios!$D$2:$D$191,"&gt;=1"),0)+IF(AND(Funcionarios!D86&gt;=2,COUNTIF(Funcionarios!$D$2:$D$191,"&gt;=2")&gt;0),(Editavel!$B$17-SUM(Departamentos!$B:$B)-SUM(Funcionarios!$F$2:$F$191))*Editavel!$C$26/COUNTIF(Funcionarios!$D$2:$D$191,"&gt;=2"),0)+IF(AND(Funcionarios!D86&gt;=3,COUNTIF(Funcionarios!$D$2:$D$191,"&gt;=3")&gt;0),(Editavel!$B$17-SUM(Departamentos!$B:$B)-SUM(Funcionarios!$F$2:$F$191))*Editavel!$C$27/COUNTIF(Funcionarios!$D$2:$D$191,"&gt;=3"),0)+IF(AND(Funcionarios!D86&gt;=4,COUNTIF(Funcionarios!$D$2:$D$191,"&gt;=4")&gt;0),(Editavel!$B$17-SUM(Departamentos!$B:$B)-SUM(Funcionarios!$F$2:$F$191))*Editavel!$C$28/COUNTIF(Funcionarios!$D$2:$D$191,"&gt;=4"),0)+IF(AND(Funcionarios!D86&gt;=5,COUNTIF(Funcionarios!$D$2:$D$191,"&gt;=5")&gt;0),(Editavel!$B$17-SUM(Departamentos!$B:$B)-SUM(Funcionarios!$F$2:$F$191))*Editavel!$C$29/COUNTIF(Funcionarios!$D$2:$D$191,"&gt;=5"),0))*IF(Funcionarios!G86&gt;0,Funcionarios!G86/30,1)</f>
        <v>0</v>
      </c>
      <c r="D96" s="5">
        <f>IF(COUNTIF(Funcionarios!$B$2:$B$191,Funcionarios!B86)&gt;0,SUMIFS(Departamentos!$B:$B,Departamentos!$C:$C,Funcionarios!B86)/COUNTIF(Funcionarios!$B$2:$B$191,Funcionarios!B86)*IF(Funcionarios!G86&gt;0,Funcionarios!G86/30,1),0)</f>
        <v>0</v>
      </c>
      <c r="E96" s="5">
        <f>Funcionarios!$F86</f>
        <v>0</v>
      </c>
      <c r="F96" s="5">
        <f>Funcionarios!$E86</f>
        <v>0</v>
      </c>
      <c r="G96" s="5">
        <f t="shared" si="5"/>
        <v>0</v>
      </c>
    </row>
    <row r="97" spans="1:7" x14ac:dyDescent="0.25">
      <c r="A97">
        <f>Funcionarios!A87</f>
        <v>0</v>
      </c>
      <c r="B97">
        <f>Funcionarios!B87</f>
        <v>0</v>
      </c>
      <c r="C97" s="5">
        <f>(IF(AND(Funcionarios!D87&gt;=1,COUNTIF(Funcionarios!$D$2:$D$191,"&gt;=1")&gt;0),(Editavel!$B$17-SUM(Departamentos!$B:$B)-SUM(Funcionarios!$F$2:$F$191))*Editavel!$C$25/COUNTIF(Funcionarios!$D$2:$D$191,"&gt;=1"),0)+IF(AND(Funcionarios!D87&gt;=2,COUNTIF(Funcionarios!$D$2:$D$191,"&gt;=2")&gt;0),(Editavel!$B$17-SUM(Departamentos!$B:$B)-SUM(Funcionarios!$F$2:$F$191))*Editavel!$C$26/COUNTIF(Funcionarios!$D$2:$D$191,"&gt;=2"),0)+IF(AND(Funcionarios!D87&gt;=3,COUNTIF(Funcionarios!$D$2:$D$191,"&gt;=3")&gt;0),(Editavel!$B$17-SUM(Departamentos!$B:$B)-SUM(Funcionarios!$F$2:$F$191))*Editavel!$C$27/COUNTIF(Funcionarios!$D$2:$D$191,"&gt;=3"),0)+IF(AND(Funcionarios!D87&gt;=4,COUNTIF(Funcionarios!$D$2:$D$191,"&gt;=4")&gt;0),(Editavel!$B$17-SUM(Departamentos!$B:$B)-SUM(Funcionarios!$F$2:$F$191))*Editavel!$C$28/COUNTIF(Funcionarios!$D$2:$D$191,"&gt;=4"),0)+IF(AND(Funcionarios!D87&gt;=5,COUNTIF(Funcionarios!$D$2:$D$191,"&gt;=5")&gt;0),(Editavel!$B$17-SUM(Departamentos!$B:$B)-SUM(Funcionarios!$F$2:$F$191))*Editavel!$C$29/COUNTIF(Funcionarios!$D$2:$D$191,"&gt;=5"),0))*IF(Funcionarios!G87&gt;0,Funcionarios!G87/30,1)</f>
        <v>0</v>
      </c>
      <c r="D97" s="5">
        <f>IF(COUNTIF(Funcionarios!$B$2:$B$191,Funcionarios!B87)&gt;0,SUMIFS(Departamentos!$B:$B,Departamentos!$C:$C,Funcionarios!B87)/COUNTIF(Funcionarios!$B$2:$B$191,Funcionarios!B87)*IF(Funcionarios!G87&gt;0,Funcionarios!G87/30,1),0)</f>
        <v>0</v>
      </c>
      <c r="E97" s="5">
        <f>Funcionarios!$F87</f>
        <v>0</v>
      </c>
      <c r="F97" s="5">
        <f>Funcionarios!$E87</f>
        <v>0</v>
      </c>
      <c r="G97" s="5">
        <f t="shared" si="5"/>
        <v>0</v>
      </c>
    </row>
    <row r="98" spans="1:7" x14ac:dyDescent="0.25">
      <c r="A98">
        <f>Funcionarios!A88</f>
        <v>0</v>
      </c>
      <c r="B98">
        <f>Funcionarios!B88</f>
        <v>0</v>
      </c>
      <c r="C98" s="5">
        <f>(IF(AND(Funcionarios!D88&gt;=1,COUNTIF(Funcionarios!$D$2:$D$191,"&gt;=1")&gt;0),(Editavel!$B$17-SUM(Departamentos!$B:$B)-SUM(Funcionarios!$F$2:$F$191))*Editavel!$C$25/COUNTIF(Funcionarios!$D$2:$D$191,"&gt;=1"),0)+IF(AND(Funcionarios!D88&gt;=2,COUNTIF(Funcionarios!$D$2:$D$191,"&gt;=2")&gt;0),(Editavel!$B$17-SUM(Departamentos!$B:$B)-SUM(Funcionarios!$F$2:$F$191))*Editavel!$C$26/COUNTIF(Funcionarios!$D$2:$D$191,"&gt;=2"),0)+IF(AND(Funcionarios!D88&gt;=3,COUNTIF(Funcionarios!$D$2:$D$191,"&gt;=3")&gt;0),(Editavel!$B$17-SUM(Departamentos!$B:$B)-SUM(Funcionarios!$F$2:$F$191))*Editavel!$C$27/COUNTIF(Funcionarios!$D$2:$D$191,"&gt;=3"),0)+IF(AND(Funcionarios!D88&gt;=4,COUNTIF(Funcionarios!$D$2:$D$191,"&gt;=4")&gt;0),(Editavel!$B$17-SUM(Departamentos!$B:$B)-SUM(Funcionarios!$F$2:$F$191))*Editavel!$C$28/COUNTIF(Funcionarios!$D$2:$D$191,"&gt;=4"),0)+IF(AND(Funcionarios!D88&gt;=5,COUNTIF(Funcionarios!$D$2:$D$191,"&gt;=5")&gt;0),(Editavel!$B$17-SUM(Departamentos!$B:$B)-SUM(Funcionarios!$F$2:$F$191))*Editavel!$C$29/COUNTIF(Funcionarios!$D$2:$D$191,"&gt;=5"),0))*IF(Funcionarios!G88&gt;0,Funcionarios!G88/30,1)</f>
        <v>0</v>
      </c>
      <c r="D98" s="5">
        <f>IF(COUNTIF(Funcionarios!$B$2:$B$191,Funcionarios!B88)&gt;0,SUMIFS(Departamentos!$B:$B,Departamentos!$C:$C,Funcionarios!B88)/COUNTIF(Funcionarios!$B$2:$B$191,Funcionarios!B88)*IF(Funcionarios!G88&gt;0,Funcionarios!G88/30,1),0)</f>
        <v>0</v>
      </c>
      <c r="E98" s="5">
        <f>Funcionarios!$F88</f>
        <v>0</v>
      </c>
      <c r="F98" s="5">
        <f>Funcionarios!$E88</f>
        <v>0</v>
      </c>
      <c r="G98" s="5">
        <f t="shared" si="5"/>
        <v>0</v>
      </c>
    </row>
    <row r="99" spans="1:7" x14ac:dyDescent="0.25">
      <c r="A99">
        <f>Funcionarios!A89</f>
        <v>0</v>
      </c>
      <c r="B99">
        <f>Funcionarios!B89</f>
        <v>0</v>
      </c>
      <c r="C99" s="5">
        <f>(IF(AND(Funcionarios!D89&gt;=1,COUNTIF(Funcionarios!$D$2:$D$191,"&gt;=1")&gt;0),(Editavel!$B$17-SUM(Departamentos!$B:$B)-SUM(Funcionarios!$F$2:$F$191))*Editavel!$C$25/COUNTIF(Funcionarios!$D$2:$D$191,"&gt;=1"),0)+IF(AND(Funcionarios!D89&gt;=2,COUNTIF(Funcionarios!$D$2:$D$191,"&gt;=2")&gt;0),(Editavel!$B$17-SUM(Departamentos!$B:$B)-SUM(Funcionarios!$F$2:$F$191))*Editavel!$C$26/COUNTIF(Funcionarios!$D$2:$D$191,"&gt;=2"),0)+IF(AND(Funcionarios!D89&gt;=3,COUNTIF(Funcionarios!$D$2:$D$191,"&gt;=3")&gt;0),(Editavel!$B$17-SUM(Departamentos!$B:$B)-SUM(Funcionarios!$F$2:$F$191))*Editavel!$C$27/COUNTIF(Funcionarios!$D$2:$D$191,"&gt;=3"),0)+IF(AND(Funcionarios!D89&gt;=4,COUNTIF(Funcionarios!$D$2:$D$191,"&gt;=4")&gt;0),(Editavel!$B$17-SUM(Departamentos!$B:$B)-SUM(Funcionarios!$F$2:$F$191))*Editavel!$C$28/COUNTIF(Funcionarios!$D$2:$D$191,"&gt;=4"),0)+IF(AND(Funcionarios!D89&gt;=5,COUNTIF(Funcionarios!$D$2:$D$191,"&gt;=5")&gt;0),(Editavel!$B$17-SUM(Departamentos!$B:$B)-SUM(Funcionarios!$F$2:$F$191))*Editavel!$C$29/COUNTIF(Funcionarios!$D$2:$D$191,"&gt;=5"),0))*IF(Funcionarios!G89&gt;0,Funcionarios!G89/30,1)</f>
        <v>0</v>
      </c>
      <c r="D99" s="5">
        <f>IF(COUNTIF(Funcionarios!$B$2:$B$191,Funcionarios!B89)&gt;0,SUMIFS(Departamentos!$B:$B,Departamentos!$C:$C,Funcionarios!B89)/COUNTIF(Funcionarios!$B$2:$B$191,Funcionarios!B89)*IF(Funcionarios!G89&gt;0,Funcionarios!G89/30,1),0)</f>
        <v>0</v>
      </c>
      <c r="E99" s="5">
        <f>Funcionarios!$F89</f>
        <v>0</v>
      </c>
      <c r="F99" s="5">
        <f>Funcionarios!$E89</f>
        <v>0</v>
      </c>
      <c r="G99" s="5">
        <f t="shared" si="5"/>
        <v>0</v>
      </c>
    </row>
    <row r="100" spans="1:7" x14ac:dyDescent="0.25">
      <c r="A100">
        <f>Funcionarios!A90</f>
        <v>0</v>
      </c>
      <c r="B100">
        <f>Funcionarios!B90</f>
        <v>0</v>
      </c>
      <c r="C100" s="5">
        <f>(IF(AND(Funcionarios!D90&gt;=1,COUNTIF(Funcionarios!$D$2:$D$191,"&gt;=1")&gt;0),(Editavel!$B$17-SUM(Departamentos!$B:$B)-SUM(Funcionarios!$F$2:$F$191))*Editavel!$C$25/COUNTIF(Funcionarios!$D$2:$D$191,"&gt;=1"),0)+IF(AND(Funcionarios!D90&gt;=2,COUNTIF(Funcionarios!$D$2:$D$191,"&gt;=2")&gt;0),(Editavel!$B$17-SUM(Departamentos!$B:$B)-SUM(Funcionarios!$F$2:$F$191))*Editavel!$C$26/COUNTIF(Funcionarios!$D$2:$D$191,"&gt;=2"),0)+IF(AND(Funcionarios!D90&gt;=3,COUNTIF(Funcionarios!$D$2:$D$191,"&gt;=3")&gt;0),(Editavel!$B$17-SUM(Departamentos!$B:$B)-SUM(Funcionarios!$F$2:$F$191))*Editavel!$C$27/COUNTIF(Funcionarios!$D$2:$D$191,"&gt;=3"),0)+IF(AND(Funcionarios!D90&gt;=4,COUNTIF(Funcionarios!$D$2:$D$191,"&gt;=4")&gt;0),(Editavel!$B$17-SUM(Departamentos!$B:$B)-SUM(Funcionarios!$F$2:$F$191))*Editavel!$C$28/COUNTIF(Funcionarios!$D$2:$D$191,"&gt;=4"),0)+IF(AND(Funcionarios!D90&gt;=5,COUNTIF(Funcionarios!$D$2:$D$191,"&gt;=5")&gt;0),(Editavel!$B$17-SUM(Departamentos!$B:$B)-SUM(Funcionarios!$F$2:$F$191))*Editavel!$C$29/COUNTIF(Funcionarios!$D$2:$D$191,"&gt;=5"),0))*IF(Funcionarios!G90&gt;0,Funcionarios!G90/30,1)</f>
        <v>0</v>
      </c>
      <c r="D100" s="5">
        <f>IF(COUNTIF(Funcionarios!$B$2:$B$191,Funcionarios!B90)&gt;0,SUMIFS(Departamentos!$B:$B,Departamentos!$C:$C,Funcionarios!B90)/COUNTIF(Funcionarios!$B$2:$B$191,Funcionarios!B90)*IF(Funcionarios!G90&gt;0,Funcionarios!G90/30,1),0)</f>
        <v>0</v>
      </c>
      <c r="E100" s="5">
        <f>Funcionarios!$F90</f>
        <v>0</v>
      </c>
      <c r="F100" s="5">
        <f>Funcionarios!$E90</f>
        <v>0</v>
      </c>
      <c r="G100" s="5">
        <f t="shared" si="5"/>
        <v>0</v>
      </c>
    </row>
    <row r="101" spans="1:7" x14ac:dyDescent="0.25">
      <c r="A101">
        <f>Funcionarios!A91</f>
        <v>0</v>
      </c>
      <c r="B101">
        <f>Funcionarios!B91</f>
        <v>0</v>
      </c>
      <c r="C101" s="5">
        <f>(IF(AND(Funcionarios!D91&gt;=1,COUNTIF(Funcionarios!$D$2:$D$191,"&gt;=1")&gt;0),(Editavel!$B$17-SUM(Departamentos!$B:$B)-SUM(Funcionarios!$F$2:$F$191))*Editavel!$C$25/COUNTIF(Funcionarios!$D$2:$D$191,"&gt;=1"),0)+IF(AND(Funcionarios!D91&gt;=2,COUNTIF(Funcionarios!$D$2:$D$191,"&gt;=2")&gt;0),(Editavel!$B$17-SUM(Departamentos!$B:$B)-SUM(Funcionarios!$F$2:$F$191))*Editavel!$C$26/COUNTIF(Funcionarios!$D$2:$D$191,"&gt;=2"),0)+IF(AND(Funcionarios!D91&gt;=3,COUNTIF(Funcionarios!$D$2:$D$191,"&gt;=3")&gt;0),(Editavel!$B$17-SUM(Departamentos!$B:$B)-SUM(Funcionarios!$F$2:$F$191))*Editavel!$C$27/COUNTIF(Funcionarios!$D$2:$D$191,"&gt;=3"),0)+IF(AND(Funcionarios!D91&gt;=4,COUNTIF(Funcionarios!$D$2:$D$191,"&gt;=4")&gt;0),(Editavel!$B$17-SUM(Departamentos!$B:$B)-SUM(Funcionarios!$F$2:$F$191))*Editavel!$C$28/COUNTIF(Funcionarios!$D$2:$D$191,"&gt;=4"),0)+IF(AND(Funcionarios!D91&gt;=5,COUNTIF(Funcionarios!$D$2:$D$191,"&gt;=5")&gt;0),(Editavel!$B$17-SUM(Departamentos!$B:$B)-SUM(Funcionarios!$F$2:$F$191))*Editavel!$C$29/COUNTIF(Funcionarios!$D$2:$D$191,"&gt;=5"),0))*IF(Funcionarios!G91&gt;0,Funcionarios!G91/30,1)</f>
        <v>0</v>
      </c>
      <c r="D101" s="5">
        <f>IF(COUNTIF(Funcionarios!$B$2:$B$191,Funcionarios!B91)&gt;0,SUMIFS(Departamentos!$B:$B,Departamentos!$C:$C,Funcionarios!B91)/COUNTIF(Funcionarios!$B$2:$B$191,Funcionarios!B91)*IF(Funcionarios!G91&gt;0,Funcionarios!G91/30,1),0)</f>
        <v>0</v>
      </c>
      <c r="E101" s="5">
        <f>Funcionarios!$F91</f>
        <v>0</v>
      </c>
      <c r="F101" s="5">
        <f>Funcionarios!$E91</f>
        <v>0</v>
      </c>
      <c r="G101" s="5">
        <f t="shared" si="5"/>
        <v>0</v>
      </c>
    </row>
    <row r="102" spans="1:7" x14ac:dyDescent="0.25">
      <c r="A102">
        <f>Funcionarios!A92</f>
        <v>0</v>
      </c>
      <c r="B102">
        <f>Funcionarios!B92</f>
        <v>0</v>
      </c>
      <c r="C102" s="5">
        <f>(IF(AND(Funcionarios!D92&gt;=1,COUNTIF(Funcionarios!$D$2:$D$191,"&gt;=1")&gt;0),(Editavel!$B$17-SUM(Departamentos!$B:$B)-SUM(Funcionarios!$F$2:$F$191))*Editavel!$C$25/COUNTIF(Funcionarios!$D$2:$D$191,"&gt;=1"),0)+IF(AND(Funcionarios!D92&gt;=2,COUNTIF(Funcionarios!$D$2:$D$191,"&gt;=2")&gt;0),(Editavel!$B$17-SUM(Departamentos!$B:$B)-SUM(Funcionarios!$F$2:$F$191))*Editavel!$C$26/COUNTIF(Funcionarios!$D$2:$D$191,"&gt;=2"),0)+IF(AND(Funcionarios!D92&gt;=3,COUNTIF(Funcionarios!$D$2:$D$191,"&gt;=3")&gt;0),(Editavel!$B$17-SUM(Departamentos!$B:$B)-SUM(Funcionarios!$F$2:$F$191))*Editavel!$C$27/COUNTIF(Funcionarios!$D$2:$D$191,"&gt;=3"),0)+IF(AND(Funcionarios!D92&gt;=4,COUNTIF(Funcionarios!$D$2:$D$191,"&gt;=4")&gt;0),(Editavel!$B$17-SUM(Departamentos!$B:$B)-SUM(Funcionarios!$F$2:$F$191))*Editavel!$C$28/COUNTIF(Funcionarios!$D$2:$D$191,"&gt;=4"),0)+IF(AND(Funcionarios!D92&gt;=5,COUNTIF(Funcionarios!$D$2:$D$191,"&gt;=5")&gt;0),(Editavel!$B$17-SUM(Departamentos!$B:$B)-SUM(Funcionarios!$F$2:$F$191))*Editavel!$C$29/COUNTIF(Funcionarios!$D$2:$D$191,"&gt;=5"),0))*IF(Funcionarios!G92&gt;0,Funcionarios!G92/30,1)</f>
        <v>0</v>
      </c>
      <c r="D102" s="5">
        <f>IF(COUNTIF(Funcionarios!$B$2:$B$191,Funcionarios!B92)&gt;0,SUMIFS(Departamentos!$B:$B,Departamentos!$C:$C,Funcionarios!B92)/COUNTIF(Funcionarios!$B$2:$B$191,Funcionarios!B92)*IF(Funcionarios!G92&gt;0,Funcionarios!G92/30,1),0)</f>
        <v>0</v>
      </c>
      <c r="E102" s="5">
        <f>Funcionarios!$F92</f>
        <v>0</v>
      </c>
      <c r="F102" s="5">
        <f>Funcionarios!$E92</f>
        <v>0</v>
      </c>
      <c r="G102" s="5">
        <f t="shared" si="5"/>
        <v>0</v>
      </c>
    </row>
    <row r="103" spans="1:7" x14ac:dyDescent="0.25">
      <c r="A103">
        <f>Funcionarios!A93</f>
        <v>0</v>
      </c>
      <c r="B103">
        <f>Funcionarios!B93</f>
        <v>0</v>
      </c>
      <c r="C103" s="5">
        <f>(IF(AND(Funcionarios!D93&gt;=1,COUNTIF(Funcionarios!$D$2:$D$191,"&gt;=1")&gt;0),(Editavel!$B$17-SUM(Departamentos!$B:$B)-SUM(Funcionarios!$F$2:$F$191))*Editavel!$C$25/COUNTIF(Funcionarios!$D$2:$D$191,"&gt;=1"),0)+IF(AND(Funcionarios!D93&gt;=2,COUNTIF(Funcionarios!$D$2:$D$191,"&gt;=2")&gt;0),(Editavel!$B$17-SUM(Departamentos!$B:$B)-SUM(Funcionarios!$F$2:$F$191))*Editavel!$C$26/COUNTIF(Funcionarios!$D$2:$D$191,"&gt;=2"),0)+IF(AND(Funcionarios!D93&gt;=3,COUNTIF(Funcionarios!$D$2:$D$191,"&gt;=3")&gt;0),(Editavel!$B$17-SUM(Departamentos!$B:$B)-SUM(Funcionarios!$F$2:$F$191))*Editavel!$C$27/COUNTIF(Funcionarios!$D$2:$D$191,"&gt;=3"),0)+IF(AND(Funcionarios!D93&gt;=4,COUNTIF(Funcionarios!$D$2:$D$191,"&gt;=4")&gt;0),(Editavel!$B$17-SUM(Departamentos!$B:$B)-SUM(Funcionarios!$F$2:$F$191))*Editavel!$C$28/COUNTIF(Funcionarios!$D$2:$D$191,"&gt;=4"),0)+IF(AND(Funcionarios!D93&gt;=5,COUNTIF(Funcionarios!$D$2:$D$191,"&gt;=5")&gt;0),(Editavel!$B$17-SUM(Departamentos!$B:$B)-SUM(Funcionarios!$F$2:$F$191))*Editavel!$C$29/COUNTIF(Funcionarios!$D$2:$D$191,"&gt;=5"),0))*IF(Funcionarios!G93&gt;0,Funcionarios!G93/30,1)</f>
        <v>0</v>
      </c>
      <c r="D103" s="5">
        <f>IF(COUNTIF(Funcionarios!$B$2:$B$191,Funcionarios!B93)&gt;0,SUMIFS(Departamentos!$B:$B,Departamentos!$C:$C,Funcionarios!B93)/COUNTIF(Funcionarios!$B$2:$B$191,Funcionarios!B93)*IF(Funcionarios!G93&gt;0,Funcionarios!G93/30,1),0)</f>
        <v>0</v>
      </c>
      <c r="E103" s="5">
        <f>Funcionarios!$F93</f>
        <v>0</v>
      </c>
      <c r="F103" s="5">
        <f>Funcionarios!$E93</f>
        <v>0</v>
      </c>
      <c r="G103" s="5">
        <f t="shared" si="5"/>
        <v>0</v>
      </c>
    </row>
    <row r="104" spans="1:7" x14ac:dyDescent="0.25">
      <c r="A104">
        <f>Funcionarios!A94</f>
        <v>0</v>
      </c>
      <c r="B104">
        <f>Funcionarios!B94</f>
        <v>0</v>
      </c>
      <c r="C104" s="5">
        <f>(IF(AND(Funcionarios!D94&gt;=1,COUNTIF(Funcionarios!$D$2:$D$191,"&gt;=1")&gt;0),(Editavel!$B$17-SUM(Departamentos!$B:$B)-SUM(Funcionarios!$F$2:$F$191))*Editavel!$C$25/COUNTIF(Funcionarios!$D$2:$D$191,"&gt;=1"),0)+IF(AND(Funcionarios!D94&gt;=2,COUNTIF(Funcionarios!$D$2:$D$191,"&gt;=2")&gt;0),(Editavel!$B$17-SUM(Departamentos!$B:$B)-SUM(Funcionarios!$F$2:$F$191))*Editavel!$C$26/COUNTIF(Funcionarios!$D$2:$D$191,"&gt;=2"),0)+IF(AND(Funcionarios!D94&gt;=3,COUNTIF(Funcionarios!$D$2:$D$191,"&gt;=3")&gt;0),(Editavel!$B$17-SUM(Departamentos!$B:$B)-SUM(Funcionarios!$F$2:$F$191))*Editavel!$C$27/COUNTIF(Funcionarios!$D$2:$D$191,"&gt;=3"),0)+IF(AND(Funcionarios!D94&gt;=4,COUNTIF(Funcionarios!$D$2:$D$191,"&gt;=4")&gt;0),(Editavel!$B$17-SUM(Departamentos!$B:$B)-SUM(Funcionarios!$F$2:$F$191))*Editavel!$C$28/COUNTIF(Funcionarios!$D$2:$D$191,"&gt;=4"),0)+IF(AND(Funcionarios!D94&gt;=5,COUNTIF(Funcionarios!$D$2:$D$191,"&gt;=5")&gt;0),(Editavel!$B$17-SUM(Departamentos!$B:$B)-SUM(Funcionarios!$F$2:$F$191))*Editavel!$C$29/COUNTIF(Funcionarios!$D$2:$D$191,"&gt;=5"),0))*IF(Funcionarios!G94&gt;0,Funcionarios!G94/30,1)</f>
        <v>0</v>
      </c>
      <c r="D104" s="5">
        <f>IF(COUNTIF(Funcionarios!$B$2:$B$191,Funcionarios!B94)&gt;0,SUMIFS(Departamentos!$B:$B,Departamentos!$C:$C,Funcionarios!B94)/COUNTIF(Funcionarios!$B$2:$B$191,Funcionarios!B94)*IF(Funcionarios!G94&gt;0,Funcionarios!G94/30,1),0)</f>
        <v>0</v>
      </c>
      <c r="E104" s="5">
        <f>Funcionarios!$F94</f>
        <v>0</v>
      </c>
      <c r="F104" s="5">
        <f>Funcionarios!$E94</f>
        <v>0</v>
      </c>
      <c r="G104" s="5">
        <f t="shared" si="5"/>
        <v>0</v>
      </c>
    </row>
    <row r="105" spans="1:7" x14ac:dyDescent="0.25">
      <c r="A105">
        <f>Funcionarios!A95</f>
        <v>0</v>
      </c>
      <c r="B105">
        <f>Funcionarios!B95</f>
        <v>0</v>
      </c>
      <c r="C105" s="5">
        <f>(IF(AND(Funcionarios!D95&gt;=1,COUNTIF(Funcionarios!$D$2:$D$191,"&gt;=1")&gt;0),(Editavel!$B$17-SUM(Departamentos!$B:$B)-SUM(Funcionarios!$F$2:$F$191))*Editavel!$C$25/COUNTIF(Funcionarios!$D$2:$D$191,"&gt;=1"),0)+IF(AND(Funcionarios!D95&gt;=2,COUNTIF(Funcionarios!$D$2:$D$191,"&gt;=2")&gt;0),(Editavel!$B$17-SUM(Departamentos!$B:$B)-SUM(Funcionarios!$F$2:$F$191))*Editavel!$C$26/COUNTIF(Funcionarios!$D$2:$D$191,"&gt;=2"),0)+IF(AND(Funcionarios!D95&gt;=3,COUNTIF(Funcionarios!$D$2:$D$191,"&gt;=3")&gt;0),(Editavel!$B$17-SUM(Departamentos!$B:$B)-SUM(Funcionarios!$F$2:$F$191))*Editavel!$C$27/COUNTIF(Funcionarios!$D$2:$D$191,"&gt;=3"),0)+IF(AND(Funcionarios!D95&gt;=4,COUNTIF(Funcionarios!$D$2:$D$191,"&gt;=4")&gt;0),(Editavel!$B$17-SUM(Departamentos!$B:$B)-SUM(Funcionarios!$F$2:$F$191))*Editavel!$C$28/COUNTIF(Funcionarios!$D$2:$D$191,"&gt;=4"),0)+IF(AND(Funcionarios!D95&gt;=5,COUNTIF(Funcionarios!$D$2:$D$191,"&gt;=5")&gt;0),(Editavel!$B$17-SUM(Departamentos!$B:$B)-SUM(Funcionarios!$F$2:$F$191))*Editavel!$C$29/COUNTIF(Funcionarios!$D$2:$D$191,"&gt;=5"),0))*IF(Funcionarios!G95&gt;0,Funcionarios!G95/30,1)</f>
        <v>0</v>
      </c>
      <c r="D105" s="5">
        <f>IF(COUNTIF(Funcionarios!$B$2:$B$191,Funcionarios!B95)&gt;0,SUMIFS(Departamentos!$B:$B,Departamentos!$C:$C,Funcionarios!B95)/COUNTIF(Funcionarios!$B$2:$B$191,Funcionarios!B95)*IF(Funcionarios!G95&gt;0,Funcionarios!G95/30,1),0)</f>
        <v>0</v>
      </c>
      <c r="E105" s="5">
        <f>Funcionarios!$F95</f>
        <v>0</v>
      </c>
      <c r="F105" s="5">
        <f>Funcionarios!$E95</f>
        <v>0</v>
      </c>
      <c r="G105" s="5">
        <f t="shared" si="5"/>
        <v>0</v>
      </c>
    </row>
    <row r="106" spans="1:7" x14ac:dyDescent="0.25">
      <c r="A106">
        <f>Funcionarios!A96</f>
        <v>0</v>
      </c>
      <c r="B106">
        <f>Funcionarios!B96</f>
        <v>0</v>
      </c>
      <c r="C106" s="5">
        <f>(IF(AND(Funcionarios!D96&gt;=1,COUNTIF(Funcionarios!$D$2:$D$191,"&gt;=1")&gt;0),(Editavel!$B$17-SUM(Departamentos!$B:$B)-SUM(Funcionarios!$F$2:$F$191))*Editavel!$C$25/COUNTIF(Funcionarios!$D$2:$D$191,"&gt;=1"),0)+IF(AND(Funcionarios!D96&gt;=2,COUNTIF(Funcionarios!$D$2:$D$191,"&gt;=2")&gt;0),(Editavel!$B$17-SUM(Departamentos!$B:$B)-SUM(Funcionarios!$F$2:$F$191))*Editavel!$C$26/COUNTIF(Funcionarios!$D$2:$D$191,"&gt;=2"),0)+IF(AND(Funcionarios!D96&gt;=3,COUNTIF(Funcionarios!$D$2:$D$191,"&gt;=3")&gt;0),(Editavel!$B$17-SUM(Departamentos!$B:$B)-SUM(Funcionarios!$F$2:$F$191))*Editavel!$C$27/COUNTIF(Funcionarios!$D$2:$D$191,"&gt;=3"),0)+IF(AND(Funcionarios!D96&gt;=4,COUNTIF(Funcionarios!$D$2:$D$191,"&gt;=4")&gt;0),(Editavel!$B$17-SUM(Departamentos!$B:$B)-SUM(Funcionarios!$F$2:$F$191))*Editavel!$C$28/COUNTIF(Funcionarios!$D$2:$D$191,"&gt;=4"),0)+IF(AND(Funcionarios!D96&gt;=5,COUNTIF(Funcionarios!$D$2:$D$191,"&gt;=5")&gt;0),(Editavel!$B$17-SUM(Departamentos!$B:$B)-SUM(Funcionarios!$F$2:$F$191))*Editavel!$C$29/COUNTIF(Funcionarios!$D$2:$D$191,"&gt;=5"),0))*IF(Funcionarios!G96&gt;0,Funcionarios!G96/30,1)</f>
        <v>0</v>
      </c>
      <c r="D106" s="5">
        <f>IF(COUNTIF(Funcionarios!$B$2:$B$191,Funcionarios!B96)&gt;0,SUMIFS(Departamentos!$B:$B,Departamentos!$C:$C,Funcionarios!B96)/COUNTIF(Funcionarios!$B$2:$B$191,Funcionarios!B96)*IF(Funcionarios!G96&gt;0,Funcionarios!G96/30,1),0)</f>
        <v>0</v>
      </c>
      <c r="E106" s="5">
        <f>Funcionarios!$F96</f>
        <v>0</v>
      </c>
      <c r="F106" s="5">
        <f>Funcionarios!$E96</f>
        <v>0</v>
      </c>
      <c r="G106" s="5">
        <f t="shared" si="5"/>
        <v>0</v>
      </c>
    </row>
    <row r="107" spans="1:7" x14ac:dyDescent="0.25">
      <c r="A107">
        <f>Funcionarios!A97</f>
        <v>0</v>
      </c>
      <c r="B107">
        <f>Funcionarios!B97</f>
        <v>0</v>
      </c>
      <c r="C107" s="5">
        <f>(IF(AND(Funcionarios!D97&gt;=1,COUNTIF(Funcionarios!$D$2:$D$191,"&gt;=1")&gt;0),(Editavel!$B$17-SUM(Departamentos!$B:$B)-SUM(Funcionarios!$F$2:$F$191))*Editavel!$C$25/COUNTIF(Funcionarios!$D$2:$D$191,"&gt;=1"),0)+IF(AND(Funcionarios!D97&gt;=2,COUNTIF(Funcionarios!$D$2:$D$191,"&gt;=2")&gt;0),(Editavel!$B$17-SUM(Departamentos!$B:$B)-SUM(Funcionarios!$F$2:$F$191))*Editavel!$C$26/COUNTIF(Funcionarios!$D$2:$D$191,"&gt;=2"),0)+IF(AND(Funcionarios!D97&gt;=3,COUNTIF(Funcionarios!$D$2:$D$191,"&gt;=3")&gt;0),(Editavel!$B$17-SUM(Departamentos!$B:$B)-SUM(Funcionarios!$F$2:$F$191))*Editavel!$C$27/COUNTIF(Funcionarios!$D$2:$D$191,"&gt;=3"),0)+IF(AND(Funcionarios!D97&gt;=4,COUNTIF(Funcionarios!$D$2:$D$191,"&gt;=4")&gt;0),(Editavel!$B$17-SUM(Departamentos!$B:$B)-SUM(Funcionarios!$F$2:$F$191))*Editavel!$C$28/COUNTIF(Funcionarios!$D$2:$D$191,"&gt;=4"),0)+IF(AND(Funcionarios!D97&gt;=5,COUNTIF(Funcionarios!$D$2:$D$191,"&gt;=5")&gt;0),(Editavel!$B$17-SUM(Departamentos!$B:$B)-SUM(Funcionarios!$F$2:$F$191))*Editavel!$C$29/COUNTIF(Funcionarios!$D$2:$D$191,"&gt;=5"),0))*IF(Funcionarios!G97&gt;0,Funcionarios!G97/30,1)</f>
        <v>0</v>
      </c>
      <c r="D107" s="5">
        <f>IF(COUNTIF(Funcionarios!$B$2:$B$191,Funcionarios!B97)&gt;0,SUMIFS(Departamentos!$B:$B,Departamentos!$C:$C,Funcionarios!B97)/COUNTIF(Funcionarios!$B$2:$B$191,Funcionarios!B97)*IF(Funcionarios!G97&gt;0,Funcionarios!G97/30,1),0)</f>
        <v>0</v>
      </c>
      <c r="E107" s="5">
        <f>Funcionarios!$F97</f>
        <v>0</v>
      </c>
      <c r="F107" s="5">
        <f>Funcionarios!$E97</f>
        <v>0</v>
      </c>
      <c r="G107" s="5">
        <f t="shared" si="5"/>
        <v>0</v>
      </c>
    </row>
    <row r="108" spans="1:7" x14ac:dyDescent="0.25">
      <c r="A108">
        <f>Funcionarios!A98</f>
        <v>0</v>
      </c>
      <c r="B108">
        <f>Funcionarios!B98</f>
        <v>0</v>
      </c>
      <c r="C108" s="5">
        <f>(IF(AND(Funcionarios!D98&gt;=1,COUNTIF(Funcionarios!$D$2:$D$191,"&gt;=1")&gt;0),(Editavel!$B$17-SUM(Departamentos!$B:$B)-SUM(Funcionarios!$F$2:$F$191))*Editavel!$C$25/COUNTIF(Funcionarios!$D$2:$D$191,"&gt;=1"),0)+IF(AND(Funcionarios!D98&gt;=2,COUNTIF(Funcionarios!$D$2:$D$191,"&gt;=2")&gt;0),(Editavel!$B$17-SUM(Departamentos!$B:$B)-SUM(Funcionarios!$F$2:$F$191))*Editavel!$C$26/COUNTIF(Funcionarios!$D$2:$D$191,"&gt;=2"),0)+IF(AND(Funcionarios!D98&gt;=3,COUNTIF(Funcionarios!$D$2:$D$191,"&gt;=3")&gt;0),(Editavel!$B$17-SUM(Departamentos!$B:$B)-SUM(Funcionarios!$F$2:$F$191))*Editavel!$C$27/COUNTIF(Funcionarios!$D$2:$D$191,"&gt;=3"),0)+IF(AND(Funcionarios!D98&gt;=4,COUNTIF(Funcionarios!$D$2:$D$191,"&gt;=4")&gt;0),(Editavel!$B$17-SUM(Departamentos!$B:$B)-SUM(Funcionarios!$F$2:$F$191))*Editavel!$C$28/COUNTIF(Funcionarios!$D$2:$D$191,"&gt;=4"),0)+IF(AND(Funcionarios!D98&gt;=5,COUNTIF(Funcionarios!$D$2:$D$191,"&gt;=5")&gt;0),(Editavel!$B$17-SUM(Departamentos!$B:$B)-SUM(Funcionarios!$F$2:$F$191))*Editavel!$C$29/COUNTIF(Funcionarios!$D$2:$D$191,"&gt;=5"),0))*IF(Funcionarios!G98&gt;0,Funcionarios!G98/30,1)</f>
        <v>0</v>
      </c>
      <c r="D108" s="5">
        <f>IF(COUNTIF(Funcionarios!$B$2:$B$191,Funcionarios!B98)&gt;0,SUMIFS(Departamentos!$B:$B,Departamentos!$C:$C,Funcionarios!B98)/COUNTIF(Funcionarios!$B$2:$B$191,Funcionarios!B98)*IF(Funcionarios!G98&gt;0,Funcionarios!G98/30,1),0)</f>
        <v>0</v>
      </c>
      <c r="E108" s="5">
        <f>Funcionarios!$F98</f>
        <v>0</v>
      </c>
      <c r="F108" s="5">
        <f>Funcionarios!$E98</f>
        <v>0</v>
      </c>
      <c r="G108" s="5">
        <f t="shared" si="5"/>
        <v>0</v>
      </c>
    </row>
    <row r="109" spans="1:7" x14ac:dyDescent="0.25">
      <c r="A109">
        <f>Funcionarios!A99</f>
        <v>0</v>
      </c>
      <c r="B109">
        <f>Funcionarios!B99</f>
        <v>0</v>
      </c>
      <c r="C109" s="5">
        <f>(IF(AND(Funcionarios!D99&gt;=1,COUNTIF(Funcionarios!$D$2:$D$191,"&gt;=1")&gt;0),(Editavel!$B$17-SUM(Departamentos!$B:$B)-SUM(Funcionarios!$F$2:$F$191))*Editavel!$C$25/COUNTIF(Funcionarios!$D$2:$D$191,"&gt;=1"),0)+IF(AND(Funcionarios!D99&gt;=2,COUNTIF(Funcionarios!$D$2:$D$191,"&gt;=2")&gt;0),(Editavel!$B$17-SUM(Departamentos!$B:$B)-SUM(Funcionarios!$F$2:$F$191))*Editavel!$C$26/COUNTIF(Funcionarios!$D$2:$D$191,"&gt;=2"),0)+IF(AND(Funcionarios!D99&gt;=3,COUNTIF(Funcionarios!$D$2:$D$191,"&gt;=3")&gt;0),(Editavel!$B$17-SUM(Departamentos!$B:$B)-SUM(Funcionarios!$F$2:$F$191))*Editavel!$C$27/COUNTIF(Funcionarios!$D$2:$D$191,"&gt;=3"),0)+IF(AND(Funcionarios!D99&gt;=4,COUNTIF(Funcionarios!$D$2:$D$191,"&gt;=4")&gt;0),(Editavel!$B$17-SUM(Departamentos!$B:$B)-SUM(Funcionarios!$F$2:$F$191))*Editavel!$C$28/COUNTIF(Funcionarios!$D$2:$D$191,"&gt;=4"),0)+IF(AND(Funcionarios!D99&gt;=5,COUNTIF(Funcionarios!$D$2:$D$191,"&gt;=5")&gt;0),(Editavel!$B$17-SUM(Departamentos!$B:$B)-SUM(Funcionarios!$F$2:$F$191))*Editavel!$C$29/COUNTIF(Funcionarios!$D$2:$D$191,"&gt;=5"),0))*IF(Funcionarios!G99&gt;0,Funcionarios!G99/30,1)</f>
        <v>0</v>
      </c>
      <c r="D109" s="5">
        <f>IF(COUNTIF(Funcionarios!$B$2:$B$191,Funcionarios!B99)&gt;0,SUMIFS(Departamentos!$B:$B,Departamentos!$C:$C,Funcionarios!B99)/COUNTIF(Funcionarios!$B$2:$B$191,Funcionarios!B99)*IF(Funcionarios!G99&gt;0,Funcionarios!G99/30,1),0)</f>
        <v>0</v>
      </c>
      <c r="E109" s="5">
        <f>Funcionarios!$F99</f>
        <v>0</v>
      </c>
      <c r="F109" s="5">
        <f>Funcionarios!$E99</f>
        <v>0</v>
      </c>
      <c r="G109" s="5">
        <f t="shared" si="5"/>
        <v>0</v>
      </c>
    </row>
    <row r="110" spans="1:7" x14ac:dyDescent="0.25">
      <c r="A110">
        <f>Funcionarios!A100</f>
        <v>0</v>
      </c>
      <c r="B110">
        <f>Funcionarios!B100</f>
        <v>0</v>
      </c>
      <c r="C110" s="5">
        <f>(IF(AND(Funcionarios!D100&gt;=1,COUNTIF(Funcionarios!$D$2:$D$191,"&gt;=1")&gt;0),(Editavel!$B$17-SUM(Departamentos!$B:$B)-SUM(Funcionarios!$F$2:$F$191))*Editavel!$C$25/COUNTIF(Funcionarios!$D$2:$D$191,"&gt;=1"),0)+IF(AND(Funcionarios!D100&gt;=2,COUNTIF(Funcionarios!$D$2:$D$191,"&gt;=2")&gt;0),(Editavel!$B$17-SUM(Departamentos!$B:$B)-SUM(Funcionarios!$F$2:$F$191))*Editavel!$C$26/COUNTIF(Funcionarios!$D$2:$D$191,"&gt;=2"),0)+IF(AND(Funcionarios!D100&gt;=3,COUNTIF(Funcionarios!$D$2:$D$191,"&gt;=3")&gt;0),(Editavel!$B$17-SUM(Departamentos!$B:$B)-SUM(Funcionarios!$F$2:$F$191))*Editavel!$C$27/COUNTIF(Funcionarios!$D$2:$D$191,"&gt;=3"),0)+IF(AND(Funcionarios!D100&gt;=4,COUNTIF(Funcionarios!$D$2:$D$191,"&gt;=4")&gt;0),(Editavel!$B$17-SUM(Departamentos!$B:$B)-SUM(Funcionarios!$F$2:$F$191))*Editavel!$C$28/COUNTIF(Funcionarios!$D$2:$D$191,"&gt;=4"),0)+IF(AND(Funcionarios!D100&gt;=5,COUNTIF(Funcionarios!$D$2:$D$191,"&gt;=5")&gt;0),(Editavel!$B$17-SUM(Departamentos!$B:$B)-SUM(Funcionarios!$F$2:$F$191))*Editavel!$C$29/COUNTIF(Funcionarios!$D$2:$D$191,"&gt;=5"),0))*IF(Funcionarios!G100&gt;0,Funcionarios!G100/30,1)</f>
        <v>0</v>
      </c>
      <c r="D110" s="5">
        <f>IF(COUNTIF(Funcionarios!$B$2:$B$191,Funcionarios!B100)&gt;0,SUMIFS(Departamentos!$B:$B,Departamentos!$C:$C,Funcionarios!B100)/COUNTIF(Funcionarios!$B$2:$B$191,Funcionarios!B100)*IF(Funcionarios!G100&gt;0,Funcionarios!G100/30,1),0)</f>
        <v>0</v>
      </c>
      <c r="E110" s="5">
        <f>Funcionarios!$F100</f>
        <v>0</v>
      </c>
      <c r="F110" s="5">
        <f>Funcionarios!$E100</f>
        <v>0</v>
      </c>
      <c r="G110" s="5">
        <f t="shared" si="5"/>
        <v>0</v>
      </c>
    </row>
    <row r="111" spans="1:7" x14ac:dyDescent="0.25">
      <c r="A111">
        <f>Funcionarios!A101</f>
        <v>0</v>
      </c>
      <c r="B111">
        <f>Funcionarios!B101</f>
        <v>0</v>
      </c>
      <c r="C111" s="5">
        <f>(IF(AND(Funcionarios!D101&gt;=1,COUNTIF(Funcionarios!$D$2:$D$191,"&gt;=1")&gt;0),(Editavel!$B$17-SUM(Departamentos!$B:$B)-SUM(Funcionarios!$F$2:$F$191))*Editavel!$C$25/COUNTIF(Funcionarios!$D$2:$D$191,"&gt;=1"),0)+IF(AND(Funcionarios!D101&gt;=2,COUNTIF(Funcionarios!$D$2:$D$191,"&gt;=2")&gt;0),(Editavel!$B$17-SUM(Departamentos!$B:$B)-SUM(Funcionarios!$F$2:$F$191))*Editavel!$C$26/COUNTIF(Funcionarios!$D$2:$D$191,"&gt;=2"),0)+IF(AND(Funcionarios!D101&gt;=3,COUNTIF(Funcionarios!$D$2:$D$191,"&gt;=3")&gt;0),(Editavel!$B$17-SUM(Departamentos!$B:$B)-SUM(Funcionarios!$F$2:$F$191))*Editavel!$C$27/COUNTIF(Funcionarios!$D$2:$D$191,"&gt;=3"),0)+IF(AND(Funcionarios!D101&gt;=4,COUNTIF(Funcionarios!$D$2:$D$191,"&gt;=4")&gt;0),(Editavel!$B$17-SUM(Departamentos!$B:$B)-SUM(Funcionarios!$F$2:$F$191))*Editavel!$C$28/COUNTIF(Funcionarios!$D$2:$D$191,"&gt;=4"),0)+IF(AND(Funcionarios!D101&gt;=5,COUNTIF(Funcionarios!$D$2:$D$191,"&gt;=5")&gt;0),(Editavel!$B$17-SUM(Departamentos!$B:$B)-SUM(Funcionarios!$F$2:$F$191))*Editavel!$C$29/COUNTIF(Funcionarios!$D$2:$D$191,"&gt;=5"),0))*IF(Funcionarios!G101&gt;0,Funcionarios!G101/30,1)</f>
        <v>0</v>
      </c>
      <c r="D111" s="5">
        <f>IF(COUNTIF(Funcionarios!$B$2:$B$191,Funcionarios!B101)&gt;0,SUMIFS(Departamentos!$B:$B,Departamentos!$C:$C,Funcionarios!B101)/COUNTIF(Funcionarios!$B$2:$B$191,Funcionarios!B101)*IF(Funcionarios!G101&gt;0,Funcionarios!G101/30,1),0)</f>
        <v>0</v>
      </c>
      <c r="E111" s="5">
        <f>Funcionarios!$F101</f>
        <v>0</v>
      </c>
      <c r="F111" s="5">
        <f>Funcionarios!$E101</f>
        <v>0</v>
      </c>
      <c r="G111" s="5">
        <f t="shared" si="5"/>
        <v>0</v>
      </c>
    </row>
    <row r="112" spans="1:7" x14ac:dyDescent="0.25">
      <c r="A112">
        <f>Funcionarios!A102</f>
        <v>0</v>
      </c>
      <c r="B112">
        <f>Funcionarios!B102</f>
        <v>0</v>
      </c>
      <c r="C112" s="5">
        <f>(IF(AND(Funcionarios!D102&gt;=1,COUNTIF(Funcionarios!$D$2:$D$191,"&gt;=1")&gt;0),(Editavel!$B$17-SUM(Departamentos!$B:$B)-SUM(Funcionarios!$F$2:$F$191))*Editavel!$C$25/COUNTIF(Funcionarios!$D$2:$D$191,"&gt;=1"),0)+IF(AND(Funcionarios!D102&gt;=2,COUNTIF(Funcionarios!$D$2:$D$191,"&gt;=2")&gt;0),(Editavel!$B$17-SUM(Departamentos!$B:$B)-SUM(Funcionarios!$F$2:$F$191))*Editavel!$C$26/COUNTIF(Funcionarios!$D$2:$D$191,"&gt;=2"),0)+IF(AND(Funcionarios!D102&gt;=3,COUNTIF(Funcionarios!$D$2:$D$191,"&gt;=3")&gt;0),(Editavel!$B$17-SUM(Departamentos!$B:$B)-SUM(Funcionarios!$F$2:$F$191))*Editavel!$C$27/COUNTIF(Funcionarios!$D$2:$D$191,"&gt;=3"),0)+IF(AND(Funcionarios!D102&gt;=4,COUNTIF(Funcionarios!$D$2:$D$191,"&gt;=4")&gt;0),(Editavel!$B$17-SUM(Departamentos!$B:$B)-SUM(Funcionarios!$F$2:$F$191))*Editavel!$C$28/COUNTIF(Funcionarios!$D$2:$D$191,"&gt;=4"),0)+IF(AND(Funcionarios!D102&gt;=5,COUNTIF(Funcionarios!$D$2:$D$191,"&gt;=5")&gt;0),(Editavel!$B$17-SUM(Departamentos!$B:$B)-SUM(Funcionarios!$F$2:$F$191))*Editavel!$C$29/COUNTIF(Funcionarios!$D$2:$D$191,"&gt;=5"),0))*IF(Funcionarios!G102&gt;0,Funcionarios!G102/30,1)</f>
        <v>0</v>
      </c>
      <c r="D112" s="5">
        <f>IF(COUNTIF(Funcionarios!$B$2:$B$191,Funcionarios!B102)&gt;0,SUMIFS(Departamentos!$B:$B,Departamentos!$C:$C,Funcionarios!B102)/COUNTIF(Funcionarios!$B$2:$B$191,Funcionarios!B102)*IF(Funcionarios!G102&gt;0,Funcionarios!G102/30,1),0)</f>
        <v>0</v>
      </c>
      <c r="E112" s="5">
        <f>Funcionarios!$F102</f>
        <v>0</v>
      </c>
      <c r="F112" s="5">
        <f>Funcionarios!$E102</f>
        <v>0</v>
      </c>
      <c r="G112" s="5">
        <f t="shared" si="5"/>
        <v>0</v>
      </c>
    </row>
    <row r="113" spans="1:7" x14ac:dyDescent="0.25">
      <c r="A113">
        <f>Funcionarios!A103</f>
        <v>0</v>
      </c>
      <c r="B113">
        <f>Funcionarios!B103</f>
        <v>0</v>
      </c>
      <c r="C113" s="5">
        <f>(IF(AND(Funcionarios!D103&gt;=1,COUNTIF(Funcionarios!$D$2:$D$191,"&gt;=1")&gt;0),(Editavel!$B$17-SUM(Departamentos!$B:$B)-SUM(Funcionarios!$F$2:$F$191))*Editavel!$C$25/COUNTIF(Funcionarios!$D$2:$D$191,"&gt;=1"),0)+IF(AND(Funcionarios!D103&gt;=2,COUNTIF(Funcionarios!$D$2:$D$191,"&gt;=2")&gt;0),(Editavel!$B$17-SUM(Departamentos!$B:$B)-SUM(Funcionarios!$F$2:$F$191))*Editavel!$C$26/COUNTIF(Funcionarios!$D$2:$D$191,"&gt;=2"),0)+IF(AND(Funcionarios!D103&gt;=3,COUNTIF(Funcionarios!$D$2:$D$191,"&gt;=3")&gt;0),(Editavel!$B$17-SUM(Departamentos!$B:$B)-SUM(Funcionarios!$F$2:$F$191))*Editavel!$C$27/COUNTIF(Funcionarios!$D$2:$D$191,"&gt;=3"),0)+IF(AND(Funcionarios!D103&gt;=4,COUNTIF(Funcionarios!$D$2:$D$191,"&gt;=4")&gt;0),(Editavel!$B$17-SUM(Departamentos!$B:$B)-SUM(Funcionarios!$F$2:$F$191))*Editavel!$C$28/COUNTIF(Funcionarios!$D$2:$D$191,"&gt;=4"),0)+IF(AND(Funcionarios!D103&gt;=5,COUNTIF(Funcionarios!$D$2:$D$191,"&gt;=5")&gt;0),(Editavel!$B$17-SUM(Departamentos!$B:$B)-SUM(Funcionarios!$F$2:$F$191))*Editavel!$C$29/COUNTIF(Funcionarios!$D$2:$D$191,"&gt;=5"),0))*IF(Funcionarios!G103&gt;0,Funcionarios!G103/30,1)</f>
        <v>0</v>
      </c>
      <c r="D113" s="5">
        <f>IF(COUNTIF(Funcionarios!$B$2:$B$191,Funcionarios!B103)&gt;0,SUMIFS(Departamentos!$B:$B,Departamentos!$C:$C,Funcionarios!B103)/COUNTIF(Funcionarios!$B$2:$B$191,Funcionarios!B103)*IF(Funcionarios!G103&gt;0,Funcionarios!G103/30,1),0)</f>
        <v>0</v>
      </c>
      <c r="E113" s="5">
        <f>Funcionarios!$F103</f>
        <v>0</v>
      </c>
      <c r="F113" s="5">
        <f>Funcionarios!$E103</f>
        <v>0</v>
      </c>
      <c r="G113" s="5">
        <f t="shared" si="5"/>
        <v>0</v>
      </c>
    </row>
    <row r="114" spans="1:7" x14ac:dyDescent="0.25">
      <c r="A114">
        <f>Funcionarios!A104</f>
        <v>0</v>
      </c>
      <c r="B114">
        <f>Funcionarios!B104</f>
        <v>0</v>
      </c>
      <c r="C114" s="5">
        <f>(IF(AND(Funcionarios!D104&gt;=1,COUNTIF(Funcionarios!$D$2:$D$191,"&gt;=1")&gt;0),(Editavel!$B$17-SUM(Departamentos!$B:$B)-SUM(Funcionarios!$F$2:$F$191))*Editavel!$C$25/COUNTIF(Funcionarios!$D$2:$D$191,"&gt;=1"),0)+IF(AND(Funcionarios!D104&gt;=2,COUNTIF(Funcionarios!$D$2:$D$191,"&gt;=2")&gt;0),(Editavel!$B$17-SUM(Departamentos!$B:$B)-SUM(Funcionarios!$F$2:$F$191))*Editavel!$C$26/COUNTIF(Funcionarios!$D$2:$D$191,"&gt;=2"),0)+IF(AND(Funcionarios!D104&gt;=3,COUNTIF(Funcionarios!$D$2:$D$191,"&gt;=3")&gt;0),(Editavel!$B$17-SUM(Departamentos!$B:$B)-SUM(Funcionarios!$F$2:$F$191))*Editavel!$C$27/COUNTIF(Funcionarios!$D$2:$D$191,"&gt;=3"),0)+IF(AND(Funcionarios!D104&gt;=4,COUNTIF(Funcionarios!$D$2:$D$191,"&gt;=4")&gt;0),(Editavel!$B$17-SUM(Departamentos!$B:$B)-SUM(Funcionarios!$F$2:$F$191))*Editavel!$C$28/COUNTIF(Funcionarios!$D$2:$D$191,"&gt;=4"),0)+IF(AND(Funcionarios!D104&gt;=5,COUNTIF(Funcionarios!$D$2:$D$191,"&gt;=5")&gt;0),(Editavel!$B$17-SUM(Departamentos!$B:$B)-SUM(Funcionarios!$F$2:$F$191))*Editavel!$C$29/COUNTIF(Funcionarios!$D$2:$D$191,"&gt;=5"),0))*IF(Funcionarios!G104&gt;0,Funcionarios!G104/30,1)</f>
        <v>0</v>
      </c>
      <c r="D114" s="5">
        <f>IF(COUNTIF(Funcionarios!$B$2:$B$191,Funcionarios!B104)&gt;0,SUMIFS(Departamentos!$B:$B,Departamentos!$C:$C,Funcionarios!B104)/COUNTIF(Funcionarios!$B$2:$B$191,Funcionarios!B104)*IF(Funcionarios!G104&gt;0,Funcionarios!G104/30,1),0)</f>
        <v>0</v>
      </c>
      <c r="E114" s="5">
        <f>Funcionarios!$F104</f>
        <v>0</v>
      </c>
      <c r="F114" s="5">
        <f>Funcionarios!$E104</f>
        <v>0</v>
      </c>
      <c r="G114" s="5">
        <f t="shared" si="5"/>
        <v>0</v>
      </c>
    </row>
    <row r="115" spans="1:7" x14ac:dyDescent="0.25">
      <c r="A115">
        <f>Funcionarios!A105</f>
        <v>0</v>
      </c>
      <c r="B115">
        <f>Funcionarios!B105</f>
        <v>0</v>
      </c>
      <c r="C115" s="5">
        <f>(IF(AND(Funcionarios!D105&gt;=1,COUNTIF(Funcionarios!$D$2:$D$191,"&gt;=1")&gt;0),(Editavel!$B$17-SUM(Departamentos!$B:$B)-SUM(Funcionarios!$F$2:$F$191))*Editavel!$C$25/COUNTIF(Funcionarios!$D$2:$D$191,"&gt;=1"),0)+IF(AND(Funcionarios!D105&gt;=2,COUNTIF(Funcionarios!$D$2:$D$191,"&gt;=2")&gt;0),(Editavel!$B$17-SUM(Departamentos!$B:$B)-SUM(Funcionarios!$F$2:$F$191))*Editavel!$C$26/COUNTIF(Funcionarios!$D$2:$D$191,"&gt;=2"),0)+IF(AND(Funcionarios!D105&gt;=3,COUNTIF(Funcionarios!$D$2:$D$191,"&gt;=3")&gt;0),(Editavel!$B$17-SUM(Departamentos!$B:$B)-SUM(Funcionarios!$F$2:$F$191))*Editavel!$C$27/COUNTIF(Funcionarios!$D$2:$D$191,"&gt;=3"),0)+IF(AND(Funcionarios!D105&gt;=4,COUNTIF(Funcionarios!$D$2:$D$191,"&gt;=4")&gt;0),(Editavel!$B$17-SUM(Departamentos!$B:$B)-SUM(Funcionarios!$F$2:$F$191))*Editavel!$C$28/COUNTIF(Funcionarios!$D$2:$D$191,"&gt;=4"),0)+IF(AND(Funcionarios!D105&gt;=5,COUNTIF(Funcionarios!$D$2:$D$191,"&gt;=5")&gt;0),(Editavel!$B$17-SUM(Departamentos!$B:$B)-SUM(Funcionarios!$F$2:$F$191))*Editavel!$C$29/COUNTIF(Funcionarios!$D$2:$D$191,"&gt;=5"),0))*IF(Funcionarios!G105&gt;0,Funcionarios!G105/30,1)</f>
        <v>0</v>
      </c>
      <c r="D115" s="5">
        <f>IF(COUNTIF(Funcionarios!$B$2:$B$191,Funcionarios!B105)&gt;0,SUMIFS(Departamentos!$B:$B,Departamentos!$C:$C,Funcionarios!B105)/COUNTIF(Funcionarios!$B$2:$B$191,Funcionarios!B105)*IF(Funcionarios!G105&gt;0,Funcionarios!G105/30,1),0)</f>
        <v>0</v>
      </c>
      <c r="E115" s="5">
        <f>Funcionarios!$F105</f>
        <v>0</v>
      </c>
      <c r="F115" s="5">
        <f>Funcionarios!$E105</f>
        <v>0</v>
      </c>
      <c r="G115" s="5">
        <f t="shared" si="5"/>
        <v>0</v>
      </c>
    </row>
    <row r="116" spans="1:7" x14ac:dyDescent="0.25">
      <c r="A116">
        <f>Funcionarios!A106</f>
        <v>0</v>
      </c>
      <c r="B116">
        <f>Funcionarios!B106</f>
        <v>0</v>
      </c>
      <c r="C116" s="5">
        <f>(IF(AND(Funcionarios!D106&gt;=1,COUNTIF(Funcionarios!$D$2:$D$191,"&gt;=1")&gt;0),(Editavel!$B$17-SUM(Departamentos!$B:$B)-SUM(Funcionarios!$F$2:$F$191))*Editavel!$C$25/COUNTIF(Funcionarios!$D$2:$D$191,"&gt;=1"),0)+IF(AND(Funcionarios!D106&gt;=2,COUNTIF(Funcionarios!$D$2:$D$191,"&gt;=2")&gt;0),(Editavel!$B$17-SUM(Departamentos!$B:$B)-SUM(Funcionarios!$F$2:$F$191))*Editavel!$C$26/COUNTIF(Funcionarios!$D$2:$D$191,"&gt;=2"),0)+IF(AND(Funcionarios!D106&gt;=3,COUNTIF(Funcionarios!$D$2:$D$191,"&gt;=3")&gt;0),(Editavel!$B$17-SUM(Departamentos!$B:$B)-SUM(Funcionarios!$F$2:$F$191))*Editavel!$C$27/COUNTIF(Funcionarios!$D$2:$D$191,"&gt;=3"),0)+IF(AND(Funcionarios!D106&gt;=4,COUNTIF(Funcionarios!$D$2:$D$191,"&gt;=4")&gt;0),(Editavel!$B$17-SUM(Departamentos!$B:$B)-SUM(Funcionarios!$F$2:$F$191))*Editavel!$C$28/COUNTIF(Funcionarios!$D$2:$D$191,"&gt;=4"),0)+IF(AND(Funcionarios!D106&gt;=5,COUNTIF(Funcionarios!$D$2:$D$191,"&gt;=5")&gt;0),(Editavel!$B$17-SUM(Departamentos!$B:$B)-SUM(Funcionarios!$F$2:$F$191))*Editavel!$C$29/COUNTIF(Funcionarios!$D$2:$D$191,"&gt;=5"),0))*IF(Funcionarios!G106&gt;0,Funcionarios!G106/30,1)</f>
        <v>0</v>
      </c>
      <c r="D116" s="5">
        <f>IF(COUNTIF(Funcionarios!$B$2:$B$191,Funcionarios!B106)&gt;0,SUMIFS(Departamentos!$B:$B,Departamentos!$C:$C,Funcionarios!B106)/COUNTIF(Funcionarios!$B$2:$B$191,Funcionarios!B106)*IF(Funcionarios!G106&gt;0,Funcionarios!G106/30,1),0)</f>
        <v>0</v>
      </c>
      <c r="E116" s="5">
        <f>Funcionarios!$F106</f>
        <v>0</v>
      </c>
      <c r="F116" s="5">
        <f>Funcionarios!$E106</f>
        <v>0</v>
      </c>
      <c r="G116" s="5">
        <f t="shared" si="5"/>
        <v>0</v>
      </c>
    </row>
    <row r="117" spans="1:7" x14ac:dyDescent="0.25">
      <c r="A117">
        <f>Funcionarios!A107</f>
        <v>0</v>
      </c>
      <c r="B117">
        <f>Funcionarios!B107</f>
        <v>0</v>
      </c>
      <c r="C117" s="5">
        <f>(IF(AND(Funcionarios!D107&gt;=1,COUNTIF(Funcionarios!$D$2:$D$191,"&gt;=1")&gt;0),(Editavel!$B$17-SUM(Departamentos!$B:$B)-SUM(Funcionarios!$F$2:$F$191))*Editavel!$C$25/COUNTIF(Funcionarios!$D$2:$D$191,"&gt;=1"),0)+IF(AND(Funcionarios!D107&gt;=2,COUNTIF(Funcionarios!$D$2:$D$191,"&gt;=2")&gt;0),(Editavel!$B$17-SUM(Departamentos!$B:$B)-SUM(Funcionarios!$F$2:$F$191))*Editavel!$C$26/COUNTIF(Funcionarios!$D$2:$D$191,"&gt;=2"),0)+IF(AND(Funcionarios!D107&gt;=3,COUNTIF(Funcionarios!$D$2:$D$191,"&gt;=3")&gt;0),(Editavel!$B$17-SUM(Departamentos!$B:$B)-SUM(Funcionarios!$F$2:$F$191))*Editavel!$C$27/COUNTIF(Funcionarios!$D$2:$D$191,"&gt;=3"),0)+IF(AND(Funcionarios!D107&gt;=4,COUNTIF(Funcionarios!$D$2:$D$191,"&gt;=4")&gt;0),(Editavel!$B$17-SUM(Departamentos!$B:$B)-SUM(Funcionarios!$F$2:$F$191))*Editavel!$C$28/COUNTIF(Funcionarios!$D$2:$D$191,"&gt;=4"),0)+IF(AND(Funcionarios!D107&gt;=5,COUNTIF(Funcionarios!$D$2:$D$191,"&gt;=5")&gt;0),(Editavel!$B$17-SUM(Departamentos!$B:$B)-SUM(Funcionarios!$F$2:$F$191))*Editavel!$C$29/COUNTIF(Funcionarios!$D$2:$D$191,"&gt;=5"),0))*IF(Funcionarios!G107&gt;0,Funcionarios!G107/30,1)</f>
        <v>0</v>
      </c>
      <c r="D117" s="5">
        <f>IF(COUNTIF(Funcionarios!$B$2:$B$191,Funcionarios!B107)&gt;0,SUMIFS(Departamentos!$B:$B,Departamentos!$C:$C,Funcionarios!B107)/COUNTIF(Funcionarios!$B$2:$B$191,Funcionarios!B107)*IF(Funcionarios!G107&gt;0,Funcionarios!G107/30,1),0)</f>
        <v>0</v>
      </c>
      <c r="E117" s="5">
        <f>Funcionarios!$F107</f>
        <v>0</v>
      </c>
      <c r="F117" s="5">
        <f>Funcionarios!$E107</f>
        <v>0</v>
      </c>
      <c r="G117" s="5">
        <f t="shared" si="5"/>
        <v>0</v>
      </c>
    </row>
    <row r="118" spans="1:7" x14ac:dyDescent="0.25">
      <c r="A118">
        <f>Funcionarios!A108</f>
        <v>0</v>
      </c>
      <c r="B118">
        <f>Funcionarios!B108</f>
        <v>0</v>
      </c>
      <c r="C118" s="5">
        <f>(IF(AND(Funcionarios!D108&gt;=1,COUNTIF(Funcionarios!$D$2:$D$191,"&gt;=1")&gt;0),(Editavel!$B$17-SUM(Departamentos!$B:$B)-SUM(Funcionarios!$F$2:$F$191))*Editavel!$C$25/COUNTIF(Funcionarios!$D$2:$D$191,"&gt;=1"),0)+IF(AND(Funcionarios!D108&gt;=2,COUNTIF(Funcionarios!$D$2:$D$191,"&gt;=2")&gt;0),(Editavel!$B$17-SUM(Departamentos!$B:$B)-SUM(Funcionarios!$F$2:$F$191))*Editavel!$C$26/COUNTIF(Funcionarios!$D$2:$D$191,"&gt;=2"),0)+IF(AND(Funcionarios!D108&gt;=3,COUNTIF(Funcionarios!$D$2:$D$191,"&gt;=3")&gt;0),(Editavel!$B$17-SUM(Departamentos!$B:$B)-SUM(Funcionarios!$F$2:$F$191))*Editavel!$C$27/COUNTIF(Funcionarios!$D$2:$D$191,"&gt;=3"),0)+IF(AND(Funcionarios!D108&gt;=4,COUNTIF(Funcionarios!$D$2:$D$191,"&gt;=4")&gt;0),(Editavel!$B$17-SUM(Departamentos!$B:$B)-SUM(Funcionarios!$F$2:$F$191))*Editavel!$C$28/COUNTIF(Funcionarios!$D$2:$D$191,"&gt;=4"),0)+IF(AND(Funcionarios!D108&gt;=5,COUNTIF(Funcionarios!$D$2:$D$191,"&gt;=5")&gt;0),(Editavel!$B$17-SUM(Departamentos!$B:$B)-SUM(Funcionarios!$F$2:$F$191))*Editavel!$C$29/COUNTIF(Funcionarios!$D$2:$D$191,"&gt;=5"),0))*IF(Funcionarios!G108&gt;0,Funcionarios!G108/30,1)</f>
        <v>0</v>
      </c>
      <c r="D118" s="5">
        <f>IF(COUNTIF(Funcionarios!$B$2:$B$191,Funcionarios!B108)&gt;0,SUMIFS(Departamentos!$B:$B,Departamentos!$C:$C,Funcionarios!B108)/COUNTIF(Funcionarios!$B$2:$B$191,Funcionarios!B108)*IF(Funcionarios!G108&gt;0,Funcionarios!G108/30,1),0)</f>
        <v>0</v>
      </c>
      <c r="E118" s="5">
        <f>Funcionarios!$F108</f>
        <v>0</v>
      </c>
      <c r="F118" s="5">
        <f>Funcionarios!$E108</f>
        <v>0</v>
      </c>
      <c r="G118" s="5">
        <f t="shared" si="5"/>
        <v>0</v>
      </c>
    </row>
    <row r="119" spans="1:7" x14ac:dyDescent="0.25">
      <c r="A119">
        <f>Funcionarios!A109</f>
        <v>0</v>
      </c>
      <c r="B119">
        <f>Funcionarios!B109</f>
        <v>0</v>
      </c>
      <c r="C119" s="5">
        <f>(IF(AND(Funcionarios!D109&gt;=1,COUNTIF(Funcionarios!$D$2:$D$191,"&gt;=1")&gt;0),(Editavel!$B$17-SUM(Departamentos!$B:$B)-SUM(Funcionarios!$F$2:$F$191))*Editavel!$C$25/COUNTIF(Funcionarios!$D$2:$D$191,"&gt;=1"),0)+IF(AND(Funcionarios!D109&gt;=2,COUNTIF(Funcionarios!$D$2:$D$191,"&gt;=2")&gt;0),(Editavel!$B$17-SUM(Departamentos!$B:$B)-SUM(Funcionarios!$F$2:$F$191))*Editavel!$C$26/COUNTIF(Funcionarios!$D$2:$D$191,"&gt;=2"),0)+IF(AND(Funcionarios!D109&gt;=3,COUNTIF(Funcionarios!$D$2:$D$191,"&gt;=3")&gt;0),(Editavel!$B$17-SUM(Departamentos!$B:$B)-SUM(Funcionarios!$F$2:$F$191))*Editavel!$C$27/COUNTIF(Funcionarios!$D$2:$D$191,"&gt;=3"),0)+IF(AND(Funcionarios!D109&gt;=4,COUNTIF(Funcionarios!$D$2:$D$191,"&gt;=4")&gt;0),(Editavel!$B$17-SUM(Departamentos!$B:$B)-SUM(Funcionarios!$F$2:$F$191))*Editavel!$C$28/COUNTIF(Funcionarios!$D$2:$D$191,"&gt;=4"),0)+IF(AND(Funcionarios!D109&gt;=5,COUNTIF(Funcionarios!$D$2:$D$191,"&gt;=5")&gt;0),(Editavel!$B$17-SUM(Departamentos!$B:$B)-SUM(Funcionarios!$F$2:$F$191))*Editavel!$C$29/COUNTIF(Funcionarios!$D$2:$D$191,"&gt;=5"),0))*IF(Funcionarios!G109&gt;0,Funcionarios!G109/30,1)</f>
        <v>0</v>
      </c>
      <c r="D119" s="5">
        <f>IF(COUNTIF(Funcionarios!$B$2:$B$191,Funcionarios!B109)&gt;0,SUMIFS(Departamentos!$B:$B,Departamentos!$C:$C,Funcionarios!B109)/COUNTIF(Funcionarios!$B$2:$B$191,Funcionarios!B109)*IF(Funcionarios!G109&gt;0,Funcionarios!G109/30,1),0)</f>
        <v>0</v>
      </c>
      <c r="E119" s="5">
        <f>Funcionarios!$F109</f>
        <v>0</v>
      </c>
      <c r="F119" s="5">
        <f>Funcionarios!$E109</f>
        <v>0</v>
      </c>
      <c r="G119" s="5">
        <f t="shared" si="5"/>
        <v>0</v>
      </c>
    </row>
    <row r="120" spans="1:7" x14ac:dyDescent="0.25">
      <c r="A120">
        <f>Funcionarios!A110</f>
        <v>0</v>
      </c>
      <c r="B120">
        <f>Funcionarios!B110</f>
        <v>0</v>
      </c>
      <c r="C120" s="5">
        <f>(IF(AND(Funcionarios!D110&gt;=1,COUNTIF(Funcionarios!$D$2:$D$191,"&gt;=1")&gt;0),(Editavel!$B$17-SUM(Departamentos!$B:$B)-SUM(Funcionarios!$F$2:$F$191))*Editavel!$C$25/COUNTIF(Funcionarios!$D$2:$D$191,"&gt;=1"),0)+IF(AND(Funcionarios!D110&gt;=2,COUNTIF(Funcionarios!$D$2:$D$191,"&gt;=2")&gt;0),(Editavel!$B$17-SUM(Departamentos!$B:$B)-SUM(Funcionarios!$F$2:$F$191))*Editavel!$C$26/COUNTIF(Funcionarios!$D$2:$D$191,"&gt;=2"),0)+IF(AND(Funcionarios!D110&gt;=3,COUNTIF(Funcionarios!$D$2:$D$191,"&gt;=3")&gt;0),(Editavel!$B$17-SUM(Departamentos!$B:$B)-SUM(Funcionarios!$F$2:$F$191))*Editavel!$C$27/COUNTIF(Funcionarios!$D$2:$D$191,"&gt;=3"),0)+IF(AND(Funcionarios!D110&gt;=4,COUNTIF(Funcionarios!$D$2:$D$191,"&gt;=4")&gt;0),(Editavel!$B$17-SUM(Departamentos!$B:$B)-SUM(Funcionarios!$F$2:$F$191))*Editavel!$C$28/COUNTIF(Funcionarios!$D$2:$D$191,"&gt;=4"),0)+IF(AND(Funcionarios!D110&gt;=5,COUNTIF(Funcionarios!$D$2:$D$191,"&gt;=5")&gt;0),(Editavel!$B$17-SUM(Departamentos!$B:$B)-SUM(Funcionarios!$F$2:$F$191))*Editavel!$C$29/COUNTIF(Funcionarios!$D$2:$D$191,"&gt;=5"),0))*IF(Funcionarios!G110&gt;0,Funcionarios!G110/30,1)</f>
        <v>0</v>
      </c>
      <c r="D120" s="5">
        <f>IF(COUNTIF(Funcionarios!$B$2:$B$191,Funcionarios!B110)&gt;0,SUMIFS(Departamentos!$B:$B,Departamentos!$C:$C,Funcionarios!B110)/COUNTIF(Funcionarios!$B$2:$B$191,Funcionarios!B110)*IF(Funcionarios!G110&gt;0,Funcionarios!G110/30,1),0)</f>
        <v>0</v>
      </c>
      <c r="E120" s="5">
        <f>Funcionarios!$F110</f>
        <v>0</v>
      </c>
      <c r="F120" s="5">
        <f>Funcionarios!$E110</f>
        <v>0</v>
      </c>
      <c r="G120" s="5">
        <f t="shared" si="5"/>
        <v>0</v>
      </c>
    </row>
    <row r="121" spans="1:7" x14ac:dyDescent="0.25">
      <c r="A121">
        <f>Funcionarios!A111</f>
        <v>0</v>
      </c>
      <c r="B121">
        <f>Funcionarios!B111</f>
        <v>0</v>
      </c>
      <c r="C121" s="5">
        <f>(IF(AND(Funcionarios!D111&gt;=1,COUNTIF(Funcionarios!$D$2:$D$191,"&gt;=1")&gt;0),(Editavel!$B$17-SUM(Departamentos!$B:$B)-SUM(Funcionarios!$F$2:$F$191))*Editavel!$C$25/COUNTIF(Funcionarios!$D$2:$D$191,"&gt;=1"),0)+IF(AND(Funcionarios!D111&gt;=2,COUNTIF(Funcionarios!$D$2:$D$191,"&gt;=2")&gt;0),(Editavel!$B$17-SUM(Departamentos!$B:$B)-SUM(Funcionarios!$F$2:$F$191))*Editavel!$C$26/COUNTIF(Funcionarios!$D$2:$D$191,"&gt;=2"),0)+IF(AND(Funcionarios!D111&gt;=3,COUNTIF(Funcionarios!$D$2:$D$191,"&gt;=3")&gt;0),(Editavel!$B$17-SUM(Departamentos!$B:$B)-SUM(Funcionarios!$F$2:$F$191))*Editavel!$C$27/COUNTIF(Funcionarios!$D$2:$D$191,"&gt;=3"),0)+IF(AND(Funcionarios!D111&gt;=4,COUNTIF(Funcionarios!$D$2:$D$191,"&gt;=4")&gt;0),(Editavel!$B$17-SUM(Departamentos!$B:$B)-SUM(Funcionarios!$F$2:$F$191))*Editavel!$C$28/COUNTIF(Funcionarios!$D$2:$D$191,"&gt;=4"),0)+IF(AND(Funcionarios!D111&gt;=5,COUNTIF(Funcionarios!$D$2:$D$191,"&gt;=5")&gt;0),(Editavel!$B$17-SUM(Departamentos!$B:$B)-SUM(Funcionarios!$F$2:$F$191))*Editavel!$C$29/COUNTIF(Funcionarios!$D$2:$D$191,"&gt;=5"),0))*IF(Funcionarios!G111&gt;0,Funcionarios!G111/30,1)</f>
        <v>0</v>
      </c>
      <c r="D121" s="5">
        <f>IF(COUNTIF(Funcionarios!$B$2:$B$191,Funcionarios!B111)&gt;0,SUMIFS(Departamentos!$B:$B,Departamentos!$C:$C,Funcionarios!B111)/COUNTIF(Funcionarios!$B$2:$B$191,Funcionarios!B111)*IF(Funcionarios!G111&gt;0,Funcionarios!G111/30,1),0)</f>
        <v>0</v>
      </c>
      <c r="E121" s="5">
        <f>Funcionarios!$F111</f>
        <v>0</v>
      </c>
      <c r="F121" s="5">
        <f>Funcionarios!$E111</f>
        <v>0</v>
      </c>
      <c r="G121" s="5">
        <f t="shared" si="5"/>
        <v>0</v>
      </c>
    </row>
    <row r="122" spans="1:7" x14ac:dyDescent="0.25">
      <c r="A122">
        <f>Funcionarios!A112</f>
        <v>0</v>
      </c>
      <c r="B122">
        <f>Funcionarios!B112</f>
        <v>0</v>
      </c>
      <c r="C122" s="5">
        <f>(IF(AND(Funcionarios!D112&gt;=1,COUNTIF(Funcionarios!$D$2:$D$191,"&gt;=1")&gt;0),(Editavel!$B$17-SUM(Departamentos!$B:$B)-SUM(Funcionarios!$F$2:$F$191))*Editavel!$C$25/COUNTIF(Funcionarios!$D$2:$D$191,"&gt;=1"),0)+IF(AND(Funcionarios!D112&gt;=2,COUNTIF(Funcionarios!$D$2:$D$191,"&gt;=2")&gt;0),(Editavel!$B$17-SUM(Departamentos!$B:$B)-SUM(Funcionarios!$F$2:$F$191))*Editavel!$C$26/COUNTIF(Funcionarios!$D$2:$D$191,"&gt;=2"),0)+IF(AND(Funcionarios!D112&gt;=3,COUNTIF(Funcionarios!$D$2:$D$191,"&gt;=3")&gt;0),(Editavel!$B$17-SUM(Departamentos!$B:$B)-SUM(Funcionarios!$F$2:$F$191))*Editavel!$C$27/COUNTIF(Funcionarios!$D$2:$D$191,"&gt;=3"),0)+IF(AND(Funcionarios!D112&gt;=4,COUNTIF(Funcionarios!$D$2:$D$191,"&gt;=4")&gt;0),(Editavel!$B$17-SUM(Departamentos!$B:$B)-SUM(Funcionarios!$F$2:$F$191))*Editavel!$C$28/COUNTIF(Funcionarios!$D$2:$D$191,"&gt;=4"),0)+IF(AND(Funcionarios!D112&gt;=5,COUNTIF(Funcionarios!$D$2:$D$191,"&gt;=5")&gt;0),(Editavel!$B$17-SUM(Departamentos!$B:$B)-SUM(Funcionarios!$F$2:$F$191))*Editavel!$C$29/COUNTIF(Funcionarios!$D$2:$D$191,"&gt;=5"),0))*IF(Funcionarios!G112&gt;0,Funcionarios!G112/30,1)</f>
        <v>0</v>
      </c>
      <c r="D122" s="5">
        <f>IF(COUNTIF(Funcionarios!$B$2:$B$191,Funcionarios!B112)&gt;0,SUMIFS(Departamentos!$B:$B,Departamentos!$C:$C,Funcionarios!B112)/COUNTIF(Funcionarios!$B$2:$B$191,Funcionarios!B112)*IF(Funcionarios!G112&gt;0,Funcionarios!G112/30,1),0)</f>
        <v>0</v>
      </c>
      <c r="E122" s="5">
        <f>Funcionarios!$F112</f>
        <v>0</v>
      </c>
      <c r="F122" s="5">
        <f>Funcionarios!$E112</f>
        <v>0</v>
      </c>
      <c r="G122" s="5">
        <f t="shared" si="5"/>
        <v>0</v>
      </c>
    </row>
    <row r="123" spans="1:7" x14ac:dyDescent="0.25">
      <c r="A123">
        <f>Funcionarios!A113</f>
        <v>0</v>
      </c>
      <c r="B123">
        <f>Funcionarios!B113</f>
        <v>0</v>
      </c>
      <c r="C123" s="5">
        <f>(IF(AND(Funcionarios!D113&gt;=1,COUNTIF(Funcionarios!$D$2:$D$191,"&gt;=1")&gt;0),(Editavel!$B$17-SUM(Departamentos!$B:$B)-SUM(Funcionarios!$F$2:$F$191))*Editavel!$C$25/COUNTIF(Funcionarios!$D$2:$D$191,"&gt;=1"),0)+IF(AND(Funcionarios!D113&gt;=2,COUNTIF(Funcionarios!$D$2:$D$191,"&gt;=2")&gt;0),(Editavel!$B$17-SUM(Departamentos!$B:$B)-SUM(Funcionarios!$F$2:$F$191))*Editavel!$C$26/COUNTIF(Funcionarios!$D$2:$D$191,"&gt;=2"),0)+IF(AND(Funcionarios!D113&gt;=3,COUNTIF(Funcionarios!$D$2:$D$191,"&gt;=3")&gt;0),(Editavel!$B$17-SUM(Departamentos!$B:$B)-SUM(Funcionarios!$F$2:$F$191))*Editavel!$C$27/COUNTIF(Funcionarios!$D$2:$D$191,"&gt;=3"),0)+IF(AND(Funcionarios!D113&gt;=4,COUNTIF(Funcionarios!$D$2:$D$191,"&gt;=4")&gt;0),(Editavel!$B$17-SUM(Departamentos!$B:$B)-SUM(Funcionarios!$F$2:$F$191))*Editavel!$C$28/COUNTIF(Funcionarios!$D$2:$D$191,"&gt;=4"),0)+IF(AND(Funcionarios!D113&gt;=5,COUNTIF(Funcionarios!$D$2:$D$191,"&gt;=5")&gt;0),(Editavel!$B$17-SUM(Departamentos!$B:$B)-SUM(Funcionarios!$F$2:$F$191))*Editavel!$C$29/COUNTIF(Funcionarios!$D$2:$D$191,"&gt;=5"),0))*IF(Funcionarios!G113&gt;0,Funcionarios!G113/30,1)</f>
        <v>0</v>
      </c>
      <c r="D123" s="5">
        <f>IF(COUNTIF(Funcionarios!$B$2:$B$191,Funcionarios!B113)&gt;0,SUMIFS(Departamentos!$B:$B,Departamentos!$C:$C,Funcionarios!B113)/COUNTIF(Funcionarios!$B$2:$B$191,Funcionarios!B113)*IF(Funcionarios!G113&gt;0,Funcionarios!G113/30,1),0)</f>
        <v>0</v>
      </c>
      <c r="E123" s="5">
        <f>Funcionarios!$F113</f>
        <v>0</v>
      </c>
      <c r="F123" s="5">
        <f>Funcionarios!$E113</f>
        <v>0</v>
      </c>
      <c r="G123" s="5">
        <f t="shared" si="5"/>
        <v>0</v>
      </c>
    </row>
    <row r="124" spans="1:7" x14ac:dyDescent="0.25">
      <c r="A124">
        <f>Funcionarios!A114</f>
        <v>0</v>
      </c>
      <c r="B124">
        <f>Funcionarios!B114</f>
        <v>0</v>
      </c>
      <c r="C124" s="5">
        <f>(IF(AND(Funcionarios!D114&gt;=1,COUNTIF(Funcionarios!$D$2:$D$191,"&gt;=1")&gt;0),(Editavel!$B$17-SUM(Departamentos!$B:$B)-SUM(Funcionarios!$F$2:$F$191))*Editavel!$C$25/COUNTIF(Funcionarios!$D$2:$D$191,"&gt;=1"),0)+IF(AND(Funcionarios!D114&gt;=2,COUNTIF(Funcionarios!$D$2:$D$191,"&gt;=2")&gt;0),(Editavel!$B$17-SUM(Departamentos!$B:$B)-SUM(Funcionarios!$F$2:$F$191))*Editavel!$C$26/COUNTIF(Funcionarios!$D$2:$D$191,"&gt;=2"),0)+IF(AND(Funcionarios!D114&gt;=3,COUNTIF(Funcionarios!$D$2:$D$191,"&gt;=3")&gt;0),(Editavel!$B$17-SUM(Departamentos!$B:$B)-SUM(Funcionarios!$F$2:$F$191))*Editavel!$C$27/COUNTIF(Funcionarios!$D$2:$D$191,"&gt;=3"),0)+IF(AND(Funcionarios!D114&gt;=4,COUNTIF(Funcionarios!$D$2:$D$191,"&gt;=4")&gt;0),(Editavel!$B$17-SUM(Departamentos!$B:$B)-SUM(Funcionarios!$F$2:$F$191))*Editavel!$C$28/COUNTIF(Funcionarios!$D$2:$D$191,"&gt;=4"),0)+IF(AND(Funcionarios!D114&gt;=5,COUNTIF(Funcionarios!$D$2:$D$191,"&gt;=5")&gt;0),(Editavel!$B$17-SUM(Departamentos!$B:$B)-SUM(Funcionarios!$F$2:$F$191))*Editavel!$C$29/COUNTIF(Funcionarios!$D$2:$D$191,"&gt;=5"),0))*IF(Funcionarios!G114&gt;0,Funcionarios!G114/30,1)</f>
        <v>0</v>
      </c>
      <c r="D124" s="5">
        <f>IF(COUNTIF(Funcionarios!$B$2:$B$191,Funcionarios!B114)&gt;0,SUMIFS(Departamentos!$B:$B,Departamentos!$C:$C,Funcionarios!B114)/COUNTIF(Funcionarios!$B$2:$B$191,Funcionarios!B114)*IF(Funcionarios!G114&gt;0,Funcionarios!G114/30,1),0)</f>
        <v>0</v>
      </c>
      <c r="E124" s="5">
        <f>Funcionarios!$F114</f>
        <v>0</v>
      </c>
      <c r="F124" s="5">
        <f>Funcionarios!$E114</f>
        <v>0</v>
      </c>
      <c r="G124" s="5">
        <f t="shared" si="5"/>
        <v>0</v>
      </c>
    </row>
    <row r="125" spans="1:7" x14ac:dyDescent="0.25">
      <c r="A125">
        <f>Funcionarios!A115</f>
        <v>0</v>
      </c>
      <c r="B125">
        <f>Funcionarios!B115</f>
        <v>0</v>
      </c>
      <c r="C125" s="5">
        <f>(IF(AND(Funcionarios!D115&gt;=1,COUNTIF(Funcionarios!$D$2:$D$191,"&gt;=1")&gt;0),(Editavel!$B$17-SUM(Departamentos!$B:$B)-SUM(Funcionarios!$F$2:$F$191))*Editavel!$C$25/COUNTIF(Funcionarios!$D$2:$D$191,"&gt;=1"),0)+IF(AND(Funcionarios!D115&gt;=2,COUNTIF(Funcionarios!$D$2:$D$191,"&gt;=2")&gt;0),(Editavel!$B$17-SUM(Departamentos!$B:$B)-SUM(Funcionarios!$F$2:$F$191))*Editavel!$C$26/COUNTIF(Funcionarios!$D$2:$D$191,"&gt;=2"),0)+IF(AND(Funcionarios!D115&gt;=3,COUNTIF(Funcionarios!$D$2:$D$191,"&gt;=3")&gt;0),(Editavel!$B$17-SUM(Departamentos!$B:$B)-SUM(Funcionarios!$F$2:$F$191))*Editavel!$C$27/COUNTIF(Funcionarios!$D$2:$D$191,"&gt;=3"),0)+IF(AND(Funcionarios!D115&gt;=4,COUNTIF(Funcionarios!$D$2:$D$191,"&gt;=4")&gt;0),(Editavel!$B$17-SUM(Departamentos!$B:$B)-SUM(Funcionarios!$F$2:$F$191))*Editavel!$C$28/COUNTIF(Funcionarios!$D$2:$D$191,"&gt;=4"),0)+IF(AND(Funcionarios!D115&gt;=5,COUNTIF(Funcionarios!$D$2:$D$191,"&gt;=5")&gt;0),(Editavel!$B$17-SUM(Departamentos!$B:$B)-SUM(Funcionarios!$F$2:$F$191))*Editavel!$C$29/COUNTIF(Funcionarios!$D$2:$D$191,"&gt;=5"),0))*IF(Funcionarios!G115&gt;0,Funcionarios!G115/30,1)</f>
        <v>0</v>
      </c>
      <c r="D125" s="5">
        <f>IF(COUNTIF(Funcionarios!$B$2:$B$191,Funcionarios!B115)&gt;0,SUMIFS(Departamentos!$B:$B,Departamentos!$C:$C,Funcionarios!B115)/COUNTIF(Funcionarios!$B$2:$B$191,Funcionarios!B115)*IF(Funcionarios!G115&gt;0,Funcionarios!G115/30,1),0)</f>
        <v>0</v>
      </c>
      <c r="E125" s="5">
        <f>Funcionarios!$F115</f>
        <v>0</v>
      </c>
      <c r="F125" s="5">
        <f>Funcionarios!$E115</f>
        <v>0</v>
      </c>
      <c r="G125" s="5">
        <f t="shared" si="5"/>
        <v>0</v>
      </c>
    </row>
    <row r="126" spans="1:7" x14ac:dyDescent="0.25">
      <c r="A126">
        <f>Funcionarios!A116</f>
        <v>0</v>
      </c>
      <c r="B126">
        <f>Funcionarios!B116</f>
        <v>0</v>
      </c>
      <c r="C126" s="5">
        <f>(IF(AND(Funcionarios!D116&gt;=1,COUNTIF(Funcionarios!$D$2:$D$191,"&gt;=1")&gt;0),(Editavel!$B$17-SUM(Departamentos!$B:$B)-SUM(Funcionarios!$F$2:$F$191))*Editavel!$C$25/COUNTIF(Funcionarios!$D$2:$D$191,"&gt;=1"),0)+IF(AND(Funcionarios!D116&gt;=2,COUNTIF(Funcionarios!$D$2:$D$191,"&gt;=2")&gt;0),(Editavel!$B$17-SUM(Departamentos!$B:$B)-SUM(Funcionarios!$F$2:$F$191))*Editavel!$C$26/COUNTIF(Funcionarios!$D$2:$D$191,"&gt;=2"),0)+IF(AND(Funcionarios!D116&gt;=3,COUNTIF(Funcionarios!$D$2:$D$191,"&gt;=3")&gt;0),(Editavel!$B$17-SUM(Departamentos!$B:$B)-SUM(Funcionarios!$F$2:$F$191))*Editavel!$C$27/COUNTIF(Funcionarios!$D$2:$D$191,"&gt;=3"),0)+IF(AND(Funcionarios!D116&gt;=4,COUNTIF(Funcionarios!$D$2:$D$191,"&gt;=4")&gt;0),(Editavel!$B$17-SUM(Departamentos!$B:$B)-SUM(Funcionarios!$F$2:$F$191))*Editavel!$C$28/COUNTIF(Funcionarios!$D$2:$D$191,"&gt;=4"),0)+IF(AND(Funcionarios!D116&gt;=5,COUNTIF(Funcionarios!$D$2:$D$191,"&gt;=5")&gt;0),(Editavel!$B$17-SUM(Departamentos!$B:$B)-SUM(Funcionarios!$F$2:$F$191))*Editavel!$C$29/COUNTIF(Funcionarios!$D$2:$D$191,"&gt;=5"),0))*IF(Funcionarios!G116&gt;0,Funcionarios!G116/30,1)</f>
        <v>0</v>
      </c>
      <c r="D126" s="5">
        <f>IF(COUNTIF(Funcionarios!$B$2:$B$191,Funcionarios!B116)&gt;0,SUMIFS(Departamentos!$B:$B,Departamentos!$C:$C,Funcionarios!B116)/COUNTIF(Funcionarios!$B$2:$B$191,Funcionarios!B116)*IF(Funcionarios!G116&gt;0,Funcionarios!G116/30,1),0)</f>
        <v>0</v>
      </c>
      <c r="E126" s="5">
        <f>Funcionarios!$F116</f>
        <v>0</v>
      </c>
      <c r="F126" s="5">
        <f>Funcionarios!$E116</f>
        <v>0</v>
      </c>
      <c r="G126" s="5">
        <f t="shared" si="5"/>
        <v>0</v>
      </c>
    </row>
    <row r="127" spans="1:7" x14ac:dyDescent="0.25">
      <c r="A127">
        <f>Funcionarios!A117</f>
        <v>0</v>
      </c>
      <c r="B127">
        <f>Funcionarios!B117</f>
        <v>0</v>
      </c>
      <c r="C127" s="5">
        <f>(IF(AND(Funcionarios!D117&gt;=1,COUNTIF(Funcionarios!$D$2:$D$191,"&gt;=1")&gt;0),(Editavel!$B$17-SUM(Departamentos!$B:$B)-SUM(Funcionarios!$F$2:$F$191))*Editavel!$C$25/COUNTIF(Funcionarios!$D$2:$D$191,"&gt;=1"),0)+IF(AND(Funcionarios!D117&gt;=2,COUNTIF(Funcionarios!$D$2:$D$191,"&gt;=2")&gt;0),(Editavel!$B$17-SUM(Departamentos!$B:$B)-SUM(Funcionarios!$F$2:$F$191))*Editavel!$C$26/COUNTIF(Funcionarios!$D$2:$D$191,"&gt;=2"),0)+IF(AND(Funcionarios!D117&gt;=3,COUNTIF(Funcionarios!$D$2:$D$191,"&gt;=3")&gt;0),(Editavel!$B$17-SUM(Departamentos!$B:$B)-SUM(Funcionarios!$F$2:$F$191))*Editavel!$C$27/COUNTIF(Funcionarios!$D$2:$D$191,"&gt;=3"),0)+IF(AND(Funcionarios!D117&gt;=4,COUNTIF(Funcionarios!$D$2:$D$191,"&gt;=4")&gt;0),(Editavel!$B$17-SUM(Departamentos!$B:$B)-SUM(Funcionarios!$F$2:$F$191))*Editavel!$C$28/COUNTIF(Funcionarios!$D$2:$D$191,"&gt;=4"),0)+IF(AND(Funcionarios!D117&gt;=5,COUNTIF(Funcionarios!$D$2:$D$191,"&gt;=5")&gt;0),(Editavel!$B$17-SUM(Departamentos!$B:$B)-SUM(Funcionarios!$F$2:$F$191))*Editavel!$C$29/COUNTIF(Funcionarios!$D$2:$D$191,"&gt;=5"),0))*IF(Funcionarios!G117&gt;0,Funcionarios!G117/30,1)</f>
        <v>0</v>
      </c>
      <c r="D127" s="5">
        <f>IF(COUNTIF(Funcionarios!$B$2:$B$191,Funcionarios!B117)&gt;0,SUMIFS(Departamentos!$B:$B,Departamentos!$C:$C,Funcionarios!B117)/COUNTIF(Funcionarios!$B$2:$B$191,Funcionarios!B117)*IF(Funcionarios!G117&gt;0,Funcionarios!G117/30,1),0)</f>
        <v>0</v>
      </c>
      <c r="E127" s="5">
        <f>Funcionarios!$F117</f>
        <v>0</v>
      </c>
      <c r="F127" s="5">
        <f>Funcionarios!$E117</f>
        <v>0</v>
      </c>
      <c r="G127" s="5">
        <f t="shared" si="5"/>
        <v>0</v>
      </c>
    </row>
    <row r="128" spans="1:7" x14ac:dyDescent="0.25">
      <c r="A128">
        <f>Funcionarios!A118</f>
        <v>0</v>
      </c>
      <c r="B128">
        <f>Funcionarios!B118</f>
        <v>0</v>
      </c>
      <c r="C128" s="5">
        <f>(IF(AND(Funcionarios!D118&gt;=1,COUNTIF(Funcionarios!$D$2:$D$191,"&gt;=1")&gt;0),(Editavel!$B$17-SUM(Departamentos!$B:$B)-SUM(Funcionarios!$F$2:$F$191))*Editavel!$C$25/COUNTIF(Funcionarios!$D$2:$D$191,"&gt;=1"),0)+IF(AND(Funcionarios!D118&gt;=2,COUNTIF(Funcionarios!$D$2:$D$191,"&gt;=2")&gt;0),(Editavel!$B$17-SUM(Departamentos!$B:$B)-SUM(Funcionarios!$F$2:$F$191))*Editavel!$C$26/COUNTIF(Funcionarios!$D$2:$D$191,"&gt;=2"),0)+IF(AND(Funcionarios!D118&gt;=3,COUNTIF(Funcionarios!$D$2:$D$191,"&gt;=3")&gt;0),(Editavel!$B$17-SUM(Departamentos!$B:$B)-SUM(Funcionarios!$F$2:$F$191))*Editavel!$C$27/COUNTIF(Funcionarios!$D$2:$D$191,"&gt;=3"),0)+IF(AND(Funcionarios!D118&gt;=4,COUNTIF(Funcionarios!$D$2:$D$191,"&gt;=4")&gt;0),(Editavel!$B$17-SUM(Departamentos!$B:$B)-SUM(Funcionarios!$F$2:$F$191))*Editavel!$C$28/COUNTIF(Funcionarios!$D$2:$D$191,"&gt;=4"),0)+IF(AND(Funcionarios!D118&gt;=5,COUNTIF(Funcionarios!$D$2:$D$191,"&gt;=5")&gt;0),(Editavel!$B$17-SUM(Departamentos!$B:$B)-SUM(Funcionarios!$F$2:$F$191))*Editavel!$C$29/COUNTIF(Funcionarios!$D$2:$D$191,"&gt;=5"),0))*IF(Funcionarios!G118&gt;0,Funcionarios!G118/30,1)</f>
        <v>0</v>
      </c>
      <c r="D128" s="5">
        <f>IF(COUNTIF(Funcionarios!$B$2:$B$191,Funcionarios!B118)&gt;0,SUMIFS(Departamentos!$B:$B,Departamentos!$C:$C,Funcionarios!B118)/COUNTIF(Funcionarios!$B$2:$B$191,Funcionarios!B118)*IF(Funcionarios!G118&gt;0,Funcionarios!G118/30,1),0)</f>
        <v>0</v>
      </c>
      <c r="E128" s="5">
        <f>Funcionarios!$F118</f>
        <v>0</v>
      </c>
      <c r="F128" s="5">
        <f>Funcionarios!$E118</f>
        <v>0</v>
      </c>
      <c r="G128" s="5">
        <f t="shared" si="5"/>
        <v>0</v>
      </c>
    </row>
    <row r="129" spans="1:7" x14ac:dyDescent="0.25">
      <c r="A129">
        <f>Funcionarios!A119</f>
        <v>0</v>
      </c>
      <c r="B129">
        <f>Funcionarios!B119</f>
        <v>0</v>
      </c>
      <c r="C129" s="5">
        <f>(IF(AND(Funcionarios!D119&gt;=1,COUNTIF(Funcionarios!$D$2:$D$191,"&gt;=1")&gt;0),(Editavel!$B$17-SUM(Departamentos!$B:$B)-SUM(Funcionarios!$F$2:$F$191))*Editavel!$C$25/COUNTIF(Funcionarios!$D$2:$D$191,"&gt;=1"),0)+IF(AND(Funcionarios!D119&gt;=2,COUNTIF(Funcionarios!$D$2:$D$191,"&gt;=2")&gt;0),(Editavel!$B$17-SUM(Departamentos!$B:$B)-SUM(Funcionarios!$F$2:$F$191))*Editavel!$C$26/COUNTIF(Funcionarios!$D$2:$D$191,"&gt;=2"),0)+IF(AND(Funcionarios!D119&gt;=3,COUNTIF(Funcionarios!$D$2:$D$191,"&gt;=3")&gt;0),(Editavel!$B$17-SUM(Departamentos!$B:$B)-SUM(Funcionarios!$F$2:$F$191))*Editavel!$C$27/COUNTIF(Funcionarios!$D$2:$D$191,"&gt;=3"),0)+IF(AND(Funcionarios!D119&gt;=4,COUNTIF(Funcionarios!$D$2:$D$191,"&gt;=4")&gt;0),(Editavel!$B$17-SUM(Departamentos!$B:$B)-SUM(Funcionarios!$F$2:$F$191))*Editavel!$C$28/COUNTIF(Funcionarios!$D$2:$D$191,"&gt;=4"),0)+IF(AND(Funcionarios!D119&gt;=5,COUNTIF(Funcionarios!$D$2:$D$191,"&gt;=5")&gt;0),(Editavel!$B$17-SUM(Departamentos!$B:$B)-SUM(Funcionarios!$F$2:$F$191))*Editavel!$C$29/COUNTIF(Funcionarios!$D$2:$D$191,"&gt;=5"),0))*IF(Funcionarios!G119&gt;0,Funcionarios!G119/30,1)</f>
        <v>0</v>
      </c>
      <c r="D129" s="5">
        <f>IF(COUNTIF(Funcionarios!$B$2:$B$191,Funcionarios!B119)&gt;0,SUMIFS(Departamentos!$B:$B,Departamentos!$C:$C,Funcionarios!B119)/COUNTIF(Funcionarios!$B$2:$B$191,Funcionarios!B119)*IF(Funcionarios!G119&gt;0,Funcionarios!G119/30,1),0)</f>
        <v>0</v>
      </c>
      <c r="E129" s="5">
        <f>Funcionarios!$F119</f>
        <v>0</v>
      </c>
      <c r="F129" s="5">
        <f>Funcionarios!$E119</f>
        <v>0</v>
      </c>
      <c r="G129" s="5">
        <f t="shared" si="5"/>
        <v>0</v>
      </c>
    </row>
    <row r="130" spans="1:7" x14ac:dyDescent="0.25">
      <c r="A130">
        <f>Funcionarios!A120</f>
        <v>0</v>
      </c>
      <c r="B130">
        <f>Funcionarios!B120</f>
        <v>0</v>
      </c>
      <c r="C130" s="5">
        <f>(IF(AND(Funcionarios!D120&gt;=1,COUNTIF(Funcionarios!$D$2:$D$191,"&gt;=1")&gt;0),(Editavel!$B$17-SUM(Departamentos!$B:$B)-SUM(Funcionarios!$F$2:$F$191))*Editavel!$C$25/COUNTIF(Funcionarios!$D$2:$D$191,"&gt;=1"),0)+IF(AND(Funcionarios!D120&gt;=2,COUNTIF(Funcionarios!$D$2:$D$191,"&gt;=2")&gt;0),(Editavel!$B$17-SUM(Departamentos!$B:$B)-SUM(Funcionarios!$F$2:$F$191))*Editavel!$C$26/COUNTIF(Funcionarios!$D$2:$D$191,"&gt;=2"),0)+IF(AND(Funcionarios!D120&gt;=3,COUNTIF(Funcionarios!$D$2:$D$191,"&gt;=3")&gt;0),(Editavel!$B$17-SUM(Departamentos!$B:$B)-SUM(Funcionarios!$F$2:$F$191))*Editavel!$C$27/COUNTIF(Funcionarios!$D$2:$D$191,"&gt;=3"),0)+IF(AND(Funcionarios!D120&gt;=4,COUNTIF(Funcionarios!$D$2:$D$191,"&gt;=4")&gt;0),(Editavel!$B$17-SUM(Departamentos!$B:$B)-SUM(Funcionarios!$F$2:$F$191))*Editavel!$C$28/COUNTIF(Funcionarios!$D$2:$D$191,"&gt;=4"),0)+IF(AND(Funcionarios!D120&gt;=5,COUNTIF(Funcionarios!$D$2:$D$191,"&gt;=5")&gt;0),(Editavel!$B$17-SUM(Departamentos!$B:$B)-SUM(Funcionarios!$F$2:$F$191))*Editavel!$C$29/COUNTIF(Funcionarios!$D$2:$D$191,"&gt;=5"),0))*IF(Funcionarios!G120&gt;0,Funcionarios!G120/30,1)</f>
        <v>0</v>
      </c>
      <c r="D130" s="5">
        <f>IF(COUNTIF(Funcionarios!$B$2:$B$191,Funcionarios!B120)&gt;0,SUMIFS(Departamentos!$B:$B,Departamentos!$C:$C,Funcionarios!B120)/COUNTIF(Funcionarios!$B$2:$B$191,Funcionarios!B120)*IF(Funcionarios!G120&gt;0,Funcionarios!G120/30,1),0)</f>
        <v>0</v>
      </c>
      <c r="E130" s="5">
        <f>Funcionarios!$F120</f>
        <v>0</v>
      </c>
      <c r="F130" s="5">
        <f>Funcionarios!$E120</f>
        <v>0</v>
      </c>
      <c r="G130" s="5">
        <f t="shared" ref="G130:G193" si="6">MAX(C130+D130+E130-F130,0)</f>
        <v>0</v>
      </c>
    </row>
    <row r="131" spans="1:7" x14ac:dyDescent="0.25">
      <c r="A131">
        <f>Funcionarios!A121</f>
        <v>0</v>
      </c>
      <c r="B131">
        <f>Funcionarios!B121</f>
        <v>0</v>
      </c>
      <c r="C131" s="5">
        <f>(IF(AND(Funcionarios!D121&gt;=1,COUNTIF(Funcionarios!$D$2:$D$191,"&gt;=1")&gt;0),(Editavel!$B$17-SUM(Departamentos!$B:$B)-SUM(Funcionarios!$F$2:$F$191))*Editavel!$C$25/COUNTIF(Funcionarios!$D$2:$D$191,"&gt;=1"),0)+IF(AND(Funcionarios!D121&gt;=2,COUNTIF(Funcionarios!$D$2:$D$191,"&gt;=2")&gt;0),(Editavel!$B$17-SUM(Departamentos!$B:$B)-SUM(Funcionarios!$F$2:$F$191))*Editavel!$C$26/COUNTIF(Funcionarios!$D$2:$D$191,"&gt;=2"),0)+IF(AND(Funcionarios!D121&gt;=3,COUNTIF(Funcionarios!$D$2:$D$191,"&gt;=3")&gt;0),(Editavel!$B$17-SUM(Departamentos!$B:$B)-SUM(Funcionarios!$F$2:$F$191))*Editavel!$C$27/COUNTIF(Funcionarios!$D$2:$D$191,"&gt;=3"),0)+IF(AND(Funcionarios!D121&gt;=4,COUNTIF(Funcionarios!$D$2:$D$191,"&gt;=4")&gt;0),(Editavel!$B$17-SUM(Departamentos!$B:$B)-SUM(Funcionarios!$F$2:$F$191))*Editavel!$C$28/COUNTIF(Funcionarios!$D$2:$D$191,"&gt;=4"),0)+IF(AND(Funcionarios!D121&gt;=5,COUNTIF(Funcionarios!$D$2:$D$191,"&gt;=5")&gt;0),(Editavel!$B$17-SUM(Departamentos!$B:$B)-SUM(Funcionarios!$F$2:$F$191))*Editavel!$C$29/COUNTIF(Funcionarios!$D$2:$D$191,"&gt;=5"),0))*IF(Funcionarios!G121&gt;0,Funcionarios!G121/30,1)</f>
        <v>0</v>
      </c>
      <c r="D131" s="5">
        <f>IF(COUNTIF(Funcionarios!$B$2:$B$191,Funcionarios!B121)&gt;0,SUMIFS(Departamentos!$B:$B,Departamentos!$C:$C,Funcionarios!B121)/COUNTIF(Funcionarios!$B$2:$B$191,Funcionarios!B121)*IF(Funcionarios!G121&gt;0,Funcionarios!G121/30,1),0)</f>
        <v>0</v>
      </c>
      <c r="E131" s="5">
        <f>Funcionarios!$F121</f>
        <v>0</v>
      </c>
      <c r="F131" s="5">
        <f>Funcionarios!$E121</f>
        <v>0</v>
      </c>
      <c r="G131" s="5">
        <f t="shared" si="6"/>
        <v>0</v>
      </c>
    </row>
    <row r="132" spans="1:7" x14ac:dyDescent="0.25">
      <c r="A132">
        <f>Funcionarios!A122</f>
        <v>0</v>
      </c>
      <c r="B132">
        <f>Funcionarios!B122</f>
        <v>0</v>
      </c>
      <c r="C132" s="5">
        <f>(IF(AND(Funcionarios!D122&gt;=1,COUNTIF(Funcionarios!$D$2:$D$191,"&gt;=1")&gt;0),(Editavel!$B$17-SUM(Departamentos!$B:$B)-SUM(Funcionarios!$F$2:$F$191))*Editavel!$C$25/COUNTIF(Funcionarios!$D$2:$D$191,"&gt;=1"),0)+IF(AND(Funcionarios!D122&gt;=2,COUNTIF(Funcionarios!$D$2:$D$191,"&gt;=2")&gt;0),(Editavel!$B$17-SUM(Departamentos!$B:$B)-SUM(Funcionarios!$F$2:$F$191))*Editavel!$C$26/COUNTIF(Funcionarios!$D$2:$D$191,"&gt;=2"),0)+IF(AND(Funcionarios!D122&gt;=3,COUNTIF(Funcionarios!$D$2:$D$191,"&gt;=3")&gt;0),(Editavel!$B$17-SUM(Departamentos!$B:$B)-SUM(Funcionarios!$F$2:$F$191))*Editavel!$C$27/COUNTIF(Funcionarios!$D$2:$D$191,"&gt;=3"),0)+IF(AND(Funcionarios!D122&gt;=4,COUNTIF(Funcionarios!$D$2:$D$191,"&gt;=4")&gt;0),(Editavel!$B$17-SUM(Departamentos!$B:$B)-SUM(Funcionarios!$F$2:$F$191))*Editavel!$C$28/COUNTIF(Funcionarios!$D$2:$D$191,"&gt;=4"),0)+IF(AND(Funcionarios!D122&gt;=5,COUNTIF(Funcionarios!$D$2:$D$191,"&gt;=5")&gt;0),(Editavel!$B$17-SUM(Departamentos!$B:$B)-SUM(Funcionarios!$F$2:$F$191))*Editavel!$C$29/COUNTIF(Funcionarios!$D$2:$D$191,"&gt;=5"),0))*IF(Funcionarios!G122&gt;0,Funcionarios!G122/30,1)</f>
        <v>0</v>
      </c>
      <c r="D132" s="5">
        <f>IF(COUNTIF(Funcionarios!$B$2:$B$191,Funcionarios!B122)&gt;0,SUMIFS(Departamentos!$B:$B,Departamentos!$C:$C,Funcionarios!B122)/COUNTIF(Funcionarios!$B$2:$B$191,Funcionarios!B122)*IF(Funcionarios!G122&gt;0,Funcionarios!G122/30,1),0)</f>
        <v>0</v>
      </c>
      <c r="E132" s="5">
        <f>Funcionarios!$F122</f>
        <v>0</v>
      </c>
      <c r="F132" s="5">
        <f>Funcionarios!$E122</f>
        <v>0</v>
      </c>
      <c r="G132" s="5">
        <f t="shared" si="6"/>
        <v>0</v>
      </c>
    </row>
    <row r="133" spans="1:7" x14ac:dyDescent="0.25">
      <c r="A133">
        <f>Funcionarios!A123</f>
        <v>0</v>
      </c>
      <c r="B133">
        <f>Funcionarios!B123</f>
        <v>0</v>
      </c>
      <c r="C133" s="5">
        <f>(IF(AND(Funcionarios!D123&gt;=1,COUNTIF(Funcionarios!$D$2:$D$191,"&gt;=1")&gt;0),(Editavel!$B$17-SUM(Departamentos!$B:$B)-SUM(Funcionarios!$F$2:$F$191))*Editavel!$C$25/COUNTIF(Funcionarios!$D$2:$D$191,"&gt;=1"),0)+IF(AND(Funcionarios!D123&gt;=2,COUNTIF(Funcionarios!$D$2:$D$191,"&gt;=2")&gt;0),(Editavel!$B$17-SUM(Departamentos!$B:$B)-SUM(Funcionarios!$F$2:$F$191))*Editavel!$C$26/COUNTIF(Funcionarios!$D$2:$D$191,"&gt;=2"),0)+IF(AND(Funcionarios!D123&gt;=3,COUNTIF(Funcionarios!$D$2:$D$191,"&gt;=3")&gt;0),(Editavel!$B$17-SUM(Departamentos!$B:$B)-SUM(Funcionarios!$F$2:$F$191))*Editavel!$C$27/COUNTIF(Funcionarios!$D$2:$D$191,"&gt;=3"),0)+IF(AND(Funcionarios!D123&gt;=4,COUNTIF(Funcionarios!$D$2:$D$191,"&gt;=4")&gt;0),(Editavel!$B$17-SUM(Departamentos!$B:$B)-SUM(Funcionarios!$F$2:$F$191))*Editavel!$C$28/COUNTIF(Funcionarios!$D$2:$D$191,"&gt;=4"),0)+IF(AND(Funcionarios!D123&gt;=5,COUNTIF(Funcionarios!$D$2:$D$191,"&gt;=5")&gt;0),(Editavel!$B$17-SUM(Departamentos!$B:$B)-SUM(Funcionarios!$F$2:$F$191))*Editavel!$C$29/COUNTIF(Funcionarios!$D$2:$D$191,"&gt;=5"),0))*IF(Funcionarios!G123&gt;0,Funcionarios!G123/30,1)</f>
        <v>0</v>
      </c>
      <c r="D133" s="5">
        <f>IF(COUNTIF(Funcionarios!$B$2:$B$191,Funcionarios!B123)&gt;0,SUMIFS(Departamentos!$B:$B,Departamentos!$C:$C,Funcionarios!B123)/COUNTIF(Funcionarios!$B$2:$B$191,Funcionarios!B123)*IF(Funcionarios!G123&gt;0,Funcionarios!G123/30,1),0)</f>
        <v>0</v>
      </c>
      <c r="E133" s="5">
        <f>Funcionarios!$F123</f>
        <v>0</v>
      </c>
      <c r="F133" s="5">
        <f>Funcionarios!$E123</f>
        <v>0</v>
      </c>
      <c r="G133" s="5">
        <f t="shared" si="6"/>
        <v>0</v>
      </c>
    </row>
    <row r="134" spans="1:7" x14ac:dyDescent="0.25">
      <c r="A134">
        <f>Funcionarios!A124</f>
        <v>0</v>
      </c>
      <c r="B134">
        <f>Funcionarios!B124</f>
        <v>0</v>
      </c>
      <c r="C134" s="5">
        <f>(IF(AND(Funcionarios!D124&gt;=1,COUNTIF(Funcionarios!$D$2:$D$191,"&gt;=1")&gt;0),(Editavel!$B$17-SUM(Departamentos!$B:$B)-SUM(Funcionarios!$F$2:$F$191))*Editavel!$C$25/COUNTIF(Funcionarios!$D$2:$D$191,"&gt;=1"),0)+IF(AND(Funcionarios!D124&gt;=2,COUNTIF(Funcionarios!$D$2:$D$191,"&gt;=2")&gt;0),(Editavel!$B$17-SUM(Departamentos!$B:$B)-SUM(Funcionarios!$F$2:$F$191))*Editavel!$C$26/COUNTIF(Funcionarios!$D$2:$D$191,"&gt;=2"),0)+IF(AND(Funcionarios!D124&gt;=3,COUNTIF(Funcionarios!$D$2:$D$191,"&gt;=3")&gt;0),(Editavel!$B$17-SUM(Departamentos!$B:$B)-SUM(Funcionarios!$F$2:$F$191))*Editavel!$C$27/COUNTIF(Funcionarios!$D$2:$D$191,"&gt;=3"),0)+IF(AND(Funcionarios!D124&gt;=4,COUNTIF(Funcionarios!$D$2:$D$191,"&gt;=4")&gt;0),(Editavel!$B$17-SUM(Departamentos!$B:$B)-SUM(Funcionarios!$F$2:$F$191))*Editavel!$C$28/COUNTIF(Funcionarios!$D$2:$D$191,"&gt;=4"),0)+IF(AND(Funcionarios!D124&gt;=5,COUNTIF(Funcionarios!$D$2:$D$191,"&gt;=5")&gt;0),(Editavel!$B$17-SUM(Departamentos!$B:$B)-SUM(Funcionarios!$F$2:$F$191))*Editavel!$C$29/COUNTIF(Funcionarios!$D$2:$D$191,"&gt;=5"),0))*IF(Funcionarios!G124&gt;0,Funcionarios!G124/30,1)</f>
        <v>0</v>
      </c>
      <c r="D134" s="5">
        <f>IF(COUNTIF(Funcionarios!$B$2:$B$191,Funcionarios!B124)&gt;0,SUMIFS(Departamentos!$B:$B,Departamentos!$C:$C,Funcionarios!B124)/COUNTIF(Funcionarios!$B$2:$B$191,Funcionarios!B124)*IF(Funcionarios!G124&gt;0,Funcionarios!G124/30,1),0)</f>
        <v>0</v>
      </c>
      <c r="E134" s="5">
        <f>Funcionarios!$F124</f>
        <v>0</v>
      </c>
      <c r="F134" s="5">
        <f>Funcionarios!$E124</f>
        <v>0</v>
      </c>
      <c r="G134" s="5">
        <f t="shared" si="6"/>
        <v>0</v>
      </c>
    </row>
    <row r="135" spans="1:7" x14ac:dyDescent="0.25">
      <c r="A135">
        <f>Funcionarios!A125</f>
        <v>0</v>
      </c>
      <c r="B135">
        <f>Funcionarios!B125</f>
        <v>0</v>
      </c>
      <c r="C135" s="5">
        <f>(IF(AND(Funcionarios!D125&gt;=1,COUNTIF(Funcionarios!$D$2:$D$191,"&gt;=1")&gt;0),(Editavel!$B$17-SUM(Departamentos!$B:$B)-SUM(Funcionarios!$F$2:$F$191))*Editavel!$C$25/COUNTIF(Funcionarios!$D$2:$D$191,"&gt;=1"),0)+IF(AND(Funcionarios!D125&gt;=2,COUNTIF(Funcionarios!$D$2:$D$191,"&gt;=2")&gt;0),(Editavel!$B$17-SUM(Departamentos!$B:$B)-SUM(Funcionarios!$F$2:$F$191))*Editavel!$C$26/COUNTIF(Funcionarios!$D$2:$D$191,"&gt;=2"),0)+IF(AND(Funcionarios!D125&gt;=3,COUNTIF(Funcionarios!$D$2:$D$191,"&gt;=3")&gt;0),(Editavel!$B$17-SUM(Departamentos!$B:$B)-SUM(Funcionarios!$F$2:$F$191))*Editavel!$C$27/COUNTIF(Funcionarios!$D$2:$D$191,"&gt;=3"),0)+IF(AND(Funcionarios!D125&gt;=4,COUNTIF(Funcionarios!$D$2:$D$191,"&gt;=4")&gt;0),(Editavel!$B$17-SUM(Departamentos!$B:$B)-SUM(Funcionarios!$F$2:$F$191))*Editavel!$C$28/COUNTIF(Funcionarios!$D$2:$D$191,"&gt;=4"),0)+IF(AND(Funcionarios!D125&gt;=5,COUNTIF(Funcionarios!$D$2:$D$191,"&gt;=5")&gt;0),(Editavel!$B$17-SUM(Departamentos!$B:$B)-SUM(Funcionarios!$F$2:$F$191))*Editavel!$C$29/COUNTIF(Funcionarios!$D$2:$D$191,"&gt;=5"),0))*IF(Funcionarios!G125&gt;0,Funcionarios!G125/30,1)</f>
        <v>0</v>
      </c>
      <c r="D135" s="5">
        <f>IF(COUNTIF(Funcionarios!$B$2:$B$191,Funcionarios!B125)&gt;0,SUMIFS(Departamentos!$B:$B,Departamentos!$C:$C,Funcionarios!B125)/COUNTIF(Funcionarios!$B$2:$B$191,Funcionarios!B125)*IF(Funcionarios!G125&gt;0,Funcionarios!G125/30,1),0)</f>
        <v>0</v>
      </c>
      <c r="E135" s="5">
        <f>Funcionarios!$F125</f>
        <v>0</v>
      </c>
      <c r="F135" s="5">
        <f>Funcionarios!$E125</f>
        <v>0</v>
      </c>
      <c r="G135" s="5">
        <f t="shared" si="6"/>
        <v>0</v>
      </c>
    </row>
    <row r="136" spans="1:7" x14ac:dyDescent="0.25">
      <c r="A136">
        <f>Funcionarios!A126</f>
        <v>0</v>
      </c>
      <c r="B136">
        <f>Funcionarios!B126</f>
        <v>0</v>
      </c>
      <c r="C136" s="5">
        <f>(IF(AND(Funcionarios!D126&gt;=1,COUNTIF(Funcionarios!$D$2:$D$191,"&gt;=1")&gt;0),(Editavel!$B$17-SUM(Departamentos!$B:$B)-SUM(Funcionarios!$F$2:$F$191))*Editavel!$C$25/COUNTIF(Funcionarios!$D$2:$D$191,"&gt;=1"),0)+IF(AND(Funcionarios!D126&gt;=2,COUNTIF(Funcionarios!$D$2:$D$191,"&gt;=2")&gt;0),(Editavel!$B$17-SUM(Departamentos!$B:$B)-SUM(Funcionarios!$F$2:$F$191))*Editavel!$C$26/COUNTIF(Funcionarios!$D$2:$D$191,"&gt;=2"),0)+IF(AND(Funcionarios!D126&gt;=3,COUNTIF(Funcionarios!$D$2:$D$191,"&gt;=3")&gt;0),(Editavel!$B$17-SUM(Departamentos!$B:$B)-SUM(Funcionarios!$F$2:$F$191))*Editavel!$C$27/COUNTIF(Funcionarios!$D$2:$D$191,"&gt;=3"),0)+IF(AND(Funcionarios!D126&gt;=4,COUNTIF(Funcionarios!$D$2:$D$191,"&gt;=4")&gt;0),(Editavel!$B$17-SUM(Departamentos!$B:$B)-SUM(Funcionarios!$F$2:$F$191))*Editavel!$C$28/COUNTIF(Funcionarios!$D$2:$D$191,"&gt;=4"),0)+IF(AND(Funcionarios!D126&gt;=5,COUNTIF(Funcionarios!$D$2:$D$191,"&gt;=5")&gt;0),(Editavel!$B$17-SUM(Departamentos!$B:$B)-SUM(Funcionarios!$F$2:$F$191))*Editavel!$C$29/COUNTIF(Funcionarios!$D$2:$D$191,"&gt;=5"),0))*IF(Funcionarios!G126&gt;0,Funcionarios!G126/30,1)</f>
        <v>0</v>
      </c>
      <c r="D136" s="5">
        <f>IF(COUNTIF(Funcionarios!$B$2:$B$191,Funcionarios!B126)&gt;0,SUMIFS(Departamentos!$B:$B,Departamentos!$C:$C,Funcionarios!B126)/COUNTIF(Funcionarios!$B$2:$B$191,Funcionarios!B126)*IF(Funcionarios!G126&gt;0,Funcionarios!G126/30,1),0)</f>
        <v>0</v>
      </c>
      <c r="E136" s="5">
        <f>Funcionarios!$F126</f>
        <v>0</v>
      </c>
      <c r="F136" s="5">
        <f>Funcionarios!$E126</f>
        <v>0</v>
      </c>
      <c r="G136" s="5">
        <f t="shared" si="6"/>
        <v>0</v>
      </c>
    </row>
    <row r="137" spans="1:7" x14ac:dyDescent="0.25">
      <c r="A137">
        <f>Funcionarios!A127</f>
        <v>0</v>
      </c>
      <c r="B137">
        <f>Funcionarios!B127</f>
        <v>0</v>
      </c>
      <c r="C137" s="5">
        <f>(IF(AND(Funcionarios!D127&gt;=1,COUNTIF(Funcionarios!$D$2:$D$191,"&gt;=1")&gt;0),(Editavel!$B$17-SUM(Departamentos!$B:$B)-SUM(Funcionarios!$F$2:$F$191))*Editavel!$C$25/COUNTIF(Funcionarios!$D$2:$D$191,"&gt;=1"),0)+IF(AND(Funcionarios!D127&gt;=2,COUNTIF(Funcionarios!$D$2:$D$191,"&gt;=2")&gt;0),(Editavel!$B$17-SUM(Departamentos!$B:$B)-SUM(Funcionarios!$F$2:$F$191))*Editavel!$C$26/COUNTIF(Funcionarios!$D$2:$D$191,"&gt;=2"),0)+IF(AND(Funcionarios!D127&gt;=3,COUNTIF(Funcionarios!$D$2:$D$191,"&gt;=3")&gt;0),(Editavel!$B$17-SUM(Departamentos!$B:$B)-SUM(Funcionarios!$F$2:$F$191))*Editavel!$C$27/COUNTIF(Funcionarios!$D$2:$D$191,"&gt;=3"),0)+IF(AND(Funcionarios!D127&gt;=4,COUNTIF(Funcionarios!$D$2:$D$191,"&gt;=4")&gt;0),(Editavel!$B$17-SUM(Departamentos!$B:$B)-SUM(Funcionarios!$F$2:$F$191))*Editavel!$C$28/COUNTIF(Funcionarios!$D$2:$D$191,"&gt;=4"),0)+IF(AND(Funcionarios!D127&gt;=5,COUNTIF(Funcionarios!$D$2:$D$191,"&gt;=5")&gt;0),(Editavel!$B$17-SUM(Departamentos!$B:$B)-SUM(Funcionarios!$F$2:$F$191))*Editavel!$C$29/COUNTIF(Funcionarios!$D$2:$D$191,"&gt;=5"),0))*IF(Funcionarios!G127&gt;0,Funcionarios!G127/30,1)</f>
        <v>0</v>
      </c>
      <c r="D137" s="5">
        <f>IF(COUNTIF(Funcionarios!$B$2:$B$191,Funcionarios!B127)&gt;0,SUMIFS(Departamentos!$B:$B,Departamentos!$C:$C,Funcionarios!B127)/COUNTIF(Funcionarios!$B$2:$B$191,Funcionarios!B127)*IF(Funcionarios!G127&gt;0,Funcionarios!G127/30,1),0)</f>
        <v>0</v>
      </c>
      <c r="E137" s="5">
        <f>Funcionarios!$F127</f>
        <v>0</v>
      </c>
      <c r="F137" s="5">
        <f>Funcionarios!$E127</f>
        <v>0</v>
      </c>
      <c r="G137" s="5">
        <f t="shared" si="6"/>
        <v>0</v>
      </c>
    </row>
    <row r="138" spans="1:7" x14ac:dyDescent="0.25">
      <c r="A138">
        <f>Funcionarios!A128</f>
        <v>0</v>
      </c>
      <c r="B138">
        <f>Funcionarios!B128</f>
        <v>0</v>
      </c>
      <c r="C138" s="5">
        <f>(IF(AND(Funcionarios!D128&gt;=1,COUNTIF(Funcionarios!$D$2:$D$191,"&gt;=1")&gt;0),(Editavel!$B$17-SUM(Departamentos!$B:$B)-SUM(Funcionarios!$F$2:$F$191))*Editavel!$C$25/COUNTIF(Funcionarios!$D$2:$D$191,"&gt;=1"),0)+IF(AND(Funcionarios!D128&gt;=2,COUNTIF(Funcionarios!$D$2:$D$191,"&gt;=2")&gt;0),(Editavel!$B$17-SUM(Departamentos!$B:$B)-SUM(Funcionarios!$F$2:$F$191))*Editavel!$C$26/COUNTIF(Funcionarios!$D$2:$D$191,"&gt;=2"),0)+IF(AND(Funcionarios!D128&gt;=3,COUNTIF(Funcionarios!$D$2:$D$191,"&gt;=3")&gt;0),(Editavel!$B$17-SUM(Departamentos!$B:$B)-SUM(Funcionarios!$F$2:$F$191))*Editavel!$C$27/COUNTIF(Funcionarios!$D$2:$D$191,"&gt;=3"),0)+IF(AND(Funcionarios!D128&gt;=4,COUNTIF(Funcionarios!$D$2:$D$191,"&gt;=4")&gt;0),(Editavel!$B$17-SUM(Departamentos!$B:$B)-SUM(Funcionarios!$F$2:$F$191))*Editavel!$C$28/COUNTIF(Funcionarios!$D$2:$D$191,"&gt;=4"),0)+IF(AND(Funcionarios!D128&gt;=5,COUNTIF(Funcionarios!$D$2:$D$191,"&gt;=5")&gt;0),(Editavel!$B$17-SUM(Departamentos!$B:$B)-SUM(Funcionarios!$F$2:$F$191))*Editavel!$C$29/COUNTIF(Funcionarios!$D$2:$D$191,"&gt;=5"),0))*IF(Funcionarios!G128&gt;0,Funcionarios!G128/30,1)</f>
        <v>0</v>
      </c>
      <c r="D138" s="5">
        <f>IF(COUNTIF(Funcionarios!$B$2:$B$191,Funcionarios!B128)&gt;0,SUMIFS(Departamentos!$B:$B,Departamentos!$C:$C,Funcionarios!B128)/COUNTIF(Funcionarios!$B$2:$B$191,Funcionarios!B128)*IF(Funcionarios!G128&gt;0,Funcionarios!G128/30,1),0)</f>
        <v>0</v>
      </c>
      <c r="E138" s="5">
        <f>Funcionarios!$F128</f>
        <v>0</v>
      </c>
      <c r="F138" s="5">
        <f>Funcionarios!$E128</f>
        <v>0</v>
      </c>
      <c r="G138" s="5">
        <f t="shared" si="6"/>
        <v>0</v>
      </c>
    </row>
    <row r="139" spans="1:7" x14ac:dyDescent="0.25">
      <c r="A139">
        <f>Funcionarios!A129</f>
        <v>0</v>
      </c>
      <c r="B139">
        <f>Funcionarios!B129</f>
        <v>0</v>
      </c>
      <c r="C139" s="5">
        <f>(IF(AND(Funcionarios!D129&gt;=1,COUNTIF(Funcionarios!$D$2:$D$191,"&gt;=1")&gt;0),(Editavel!$B$17-SUM(Departamentos!$B:$B)-SUM(Funcionarios!$F$2:$F$191))*Editavel!$C$25/COUNTIF(Funcionarios!$D$2:$D$191,"&gt;=1"),0)+IF(AND(Funcionarios!D129&gt;=2,COUNTIF(Funcionarios!$D$2:$D$191,"&gt;=2")&gt;0),(Editavel!$B$17-SUM(Departamentos!$B:$B)-SUM(Funcionarios!$F$2:$F$191))*Editavel!$C$26/COUNTIF(Funcionarios!$D$2:$D$191,"&gt;=2"),0)+IF(AND(Funcionarios!D129&gt;=3,COUNTIF(Funcionarios!$D$2:$D$191,"&gt;=3")&gt;0),(Editavel!$B$17-SUM(Departamentos!$B:$B)-SUM(Funcionarios!$F$2:$F$191))*Editavel!$C$27/COUNTIF(Funcionarios!$D$2:$D$191,"&gt;=3"),0)+IF(AND(Funcionarios!D129&gt;=4,COUNTIF(Funcionarios!$D$2:$D$191,"&gt;=4")&gt;0),(Editavel!$B$17-SUM(Departamentos!$B:$B)-SUM(Funcionarios!$F$2:$F$191))*Editavel!$C$28/COUNTIF(Funcionarios!$D$2:$D$191,"&gt;=4"),0)+IF(AND(Funcionarios!D129&gt;=5,COUNTIF(Funcionarios!$D$2:$D$191,"&gt;=5")&gt;0),(Editavel!$B$17-SUM(Departamentos!$B:$B)-SUM(Funcionarios!$F$2:$F$191))*Editavel!$C$29/COUNTIF(Funcionarios!$D$2:$D$191,"&gt;=5"),0))*IF(Funcionarios!G129&gt;0,Funcionarios!G129/30,1)</f>
        <v>0</v>
      </c>
      <c r="D139" s="5">
        <f>IF(COUNTIF(Funcionarios!$B$2:$B$191,Funcionarios!B129)&gt;0,SUMIFS(Departamentos!$B:$B,Departamentos!$C:$C,Funcionarios!B129)/COUNTIF(Funcionarios!$B$2:$B$191,Funcionarios!B129)*IF(Funcionarios!G129&gt;0,Funcionarios!G129/30,1),0)</f>
        <v>0</v>
      </c>
      <c r="E139" s="5">
        <f>Funcionarios!$F129</f>
        <v>0</v>
      </c>
      <c r="F139" s="5">
        <f>Funcionarios!$E129</f>
        <v>0</v>
      </c>
      <c r="G139" s="5">
        <f t="shared" si="6"/>
        <v>0</v>
      </c>
    </row>
    <row r="140" spans="1:7" x14ac:dyDescent="0.25">
      <c r="A140">
        <f>Funcionarios!A130</f>
        <v>0</v>
      </c>
      <c r="B140">
        <f>Funcionarios!B130</f>
        <v>0</v>
      </c>
      <c r="C140" s="5">
        <f>(IF(AND(Funcionarios!D130&gt;=1,COUNTIF(Funcionarios!$D$2:$D$191,"&gt;=1")&gt;0),(Editavel!$B$17-SUM(Departamentos!$B:$B)-SUM(Funcionarios!$F$2:$F$191))*Editavel!$C$25/COUNTIF(Funcionarios!$D$2:$D$191,"&gt;=1"),0)+IF(AND(Funcionarios!D130&gt;=2,COUNTIF(Funcionarios!$D$2:$D$191,"&gt;=2")&gt;0),(Editavel!$B$17-SUM(Departamentos!$B:$B)-SUM(Funcionarios!$F$2:$F$191))*Editavel!$C$26/COUNTIF(Funcionarios!$D$2:$D$191,"&gt;=2"),0)+IF(AND(Funcionarios!D130&gt;=3,COUNTIF(Funcionarios!$D$2:$D$191,"&gt;=3")&gt;0),(Editavel!$B$17-SUM(Departamentos!$B:$B)-SUM(Funcionarios!$F$2:$F$191))*Editavel!$C$27/COUNTIF(Funcionarios!$D$2:$D$191,"&gt;=3"),0)+IF(AND(Funcionarios!D130&gt;=4,COUNTIF(Funcionarios!$D$2:$D$191,"&gt;=4")&gt;0),(Editavel!$B$17-SUM(Departamentos!$B:$B)-SUM(Funcionarios!$F$2:$F$191))*Editavel!$C$28/COUNTIF(Funcionarios!$D$2:$D$191,"&gt;=4"),0)+IF(AND(Funcionarios!D130&gt;=5,COUNTIF(Funcionarios!$D$2:$D$191,"&gt;=5")&gt;0),(Editavel!$B$17-SUM(Departamentos!$B:$B)-SUM(Funcionarios!$F$2:$F$191))*Editavel!$C$29/COUNTIF(Funcionarios!$D$2:$D$191,"&gt;=5"),0))*IF(Funcionarios!G130&gt;0,Funcionarios!G130/30,1)</f>
        <v>0</v>
      </c>
      <c r="D140" s="5">
        <f>IF(COUNTIF(Funcionarios!$B$2:$B$191,Funcionarios!B130)&gt;0,SUMIFS(Departamentos!$B:$B,Departamentos!$C:$C,Funcionarios!B130)/COUNTIF(Funcionarios!$B$2:$B$191,Funcionarios!B130)*IF(Funcionarios!G130&gt;0,Funcionarios!G130/30,1),0)</f>
        <v>0</v>
      </c>
      <c r="E140" s="5">
        <f>Funcionarios!$F130</f>
        <v>0</v>
      </c>
      <c r="F140" s="5">
        <f>Funcionarios!$E130</f>
        <v>0</v>
      </c>
      <c r="G140" s="5">
        <f t="shared" si="6"/>
        <v>0</v>
      </c>
    </row>
    <row r="141" spans="1:7" x14ac:dyDescent="0.25">
      <c r="A141">
        <f>Funcionarios!A131</f>
        <v>0</v>
      </c>
      <c r="B141">
        <f>Funcionarios!B131</f>
        <v>0</v>
      </c>
      <c r="C141" s="5">
        <f>(IF(AND(Funcionarios!D131&gt;=1,COUNTIF(Funcionarios!$D$2:$D$191,"&gt;=1")&gt;0),(Editavel!$B$17-SUM(Departamentos!$B:$B)-SUM(Funcionarios!$F$2:$F$191))*Editavel!$C$25/COUNTIF(Funcionarios!$D$2:$D$191,"&gt;=1"),0)+IF(AND(Funcionarios!D131&gt;=2,COUNTIF(Funcionarios!$D$2:$D$191,"&gt;=2")&gt;0),(Editavel!$B$17-SUM(Departamentos!$B:$B)-SUM(Funcionarios!$F$2:$F$191))*Editavel!$C$26/COUNTIF(Funcionarios!$D$2:$D$191,"&gt;=2"),0)+IF(AND(Funcionarios!D131&gt;=3,COUNTIF(Funcionarios!$D$2:$D$191,"&gt;=3")&gt;0),(Editavel!$B$17-SUM(Departamentos!$B:$B)-SUM(Funcionarios!$F$2:$F$191))*Editavel!$C$27/COUNTIF(Funcionarios!$D$2:$D$191,"&gt;=3"),0)+IF(AND(Funcionarios!D131&gt;=4,COUNTIF(Funcionarios!$D$2:$D$191,"&gt;=4")&gt;0),(Editavel!$B$17-SUM(Departamentos!$B:$B)-SUM(Funcionarios!$F$2:$F$191))*Editavel!$C$28/COUNTIF(Funcionarios!$D$2:$D$191,"&gt;=4"),0)+IF(AND(Funcionarios!D131&gt;=5,COUNTIF(Funcionarios!$D$2:$D$191,"&gt;=5")&gt;0),(Editavel!$B$17-SUM(Departamentos!$B:$B)-SUM(Funcionarios!$F$2:$F$191))*Editavel!$C$29/COUNTIF(Funcionarios!$D$2:$D$191,"&gt;=5"),0))*IF(Funcionarios!G131&gt;0,Funcionarios!G131/30,1)</f>
        <v>0</v>
      </c>
      <c r="D141" s="5">
        <f>IF(COUNTIF(Funcionarios!$B$2:$B$191,Funcionarios!B131)&gt;0,SUMIFS(Departamentos!$B:$B,Departamentos!$C:$C,Funcionarios!B131)/COUNTIF(Funcionarios!$B$2:$B$191,Funcionarios!B131)*IF(Funcionarios!G131&gt;0,Funcionarios!G131/30,1),0)</f>
        <v>0</v>
      </c>
      <c r="E141" s="5">
        <f>Funcionarios!$F131</f>
        <v>0</v>
      </c>
      <c r="F141" s="5">
        <f>Funcionarios!$E131</f>
        <v>0</v>
      </c>
      <c r="G141" s="5">
        <f t="shared" si="6"/>
        <v>0</v>
      </c>
    </row>
    <row r="142" spans="1:7" x14ac:dyDescent="0.25">
      <c r="A142">
        <f>Funcionarios!A132</f>
        <v>0</v>
      </c>
      <c r="B142">
        <f>Funcionarios!B132</f>
        <v>0</v>
      </c>
      <c r="C142" s="5">
        <f>(IF(AND(Funcionarios!D132&gt;=1,COUNTIF(Funcionarios!$D$2:$D$191,"&gt;=1")&gt;0),(Editavel!$B$17-SUM(Departamentos!$B:$B)-SUM(Funcionarios!$F$2:$F$191))*Editavel!$C$25/COUNTIF(Funcionarios!$D$2:$D$191,"&gt;=1"),0)+IF(AND(Funcionarios!D132&gt;=2,COUNTIF(Funcionarios!$D$2:$D$191,"&gt;=2")&gt;0),(Editavel!$B$17-SUM(Departamentos!$B:$B)-SUM(Funcionarios!$F$2:$F$191))*Editavel!$C$26/COUNTIF(Funcionarios!$D$2:$D$191,"&gt;=2"),0)+IF(AND(Funcionarios!D132&gt;=3,COUNTIF(Funcionarios!$D$2:$D$191,"&gt;=3")&gt;0),(Editavel!$B$17-SUM(Departamentos!$B:$B)-SUM(Funcionarios!$F$2:$F$191))*Editavel!$C$27/COUNTIF(Funcionarios!$D$2:$D$191,"&gt;=3"),0)+IF(AND(Funcionarios!D132&gt;=4,COUNTIF(Funcionarios!$D$2:$D$191,"&gt;=4")&gt;0),(Editavel!$B$17-SUM(Departamentos!$B:$B)-SUM(Funcionarios!$F$2:$F$191))*Editavel!$C$28/COUNTIF(Funcionarios!$D$2:$D$191,"&gt;=4"),0)+IF(AND(Funcionarios!D132&gt;=5,COUNTIF(Funcionarios!$D$2:$D$191,"&gt;=5")&gt;0),(Editavel!$B$17-SUM(Departamentos!$B:$B)-SUM(Funcionarios!$F$2:$F$191))*Editavel!$C$29/COUNTIF(Funcionarios!$D$2:$D$191,"&gt;=5"),0))*IF(Funcionarios!G132&gt;0,Funcionarios!G132/30,1)</f>
        <v>0</v>
      </c>
      <c r="D142" s="5">
        <f>IF(COUNTIF(Funcionarios!$B$2:$B$191,Funcionarios!B132)&gt;0,SUMIFS(Departamentos!$B:$B,Departamentos!$C:$C,Funcionarios!B132)/COUNTIF(Funcionarios!$B$2:$B$191,Funcionarios!B132)*IF(Funcionarios!G132&gt;0,Funcionarios!G132/30,1),0)</f>
        <v>0</v>
      </c>
      <c r="E142" s="5">
        <f>Funcionarios!$F132</f>
        <v>0</v>
      </c>
      <c r="F142" s="5">
        <f>Funcionarios!$E132</f>
        <v>0</v>
      </c>
      <c r="G142" s="5">
        <f t="shared" si="6"/>
        <v>0</v>
      </c>
    </row>
    <row r="143" spans="1:7" x14ac:dyDescent="0.25">
      <c r="A143">
        <f>Funcionarios!A133</f>
        <v>0</v>
      </c>
      <c r="B143">
        <f>Funcionarios!B133</f>
        <v>0</v>
      </c>
      <c r="C143" s="5">
        <f>(IF(AND(Funcionarios!D133&gt;=1,COUNTIF(Funcionarios!$D$2:$D$191,"&gt;=1")&gt;0),(Editavel!$B$17-SUM(Departamentos!$B:$B)-SUM(Funcionarios!$F$2:$F$191))*Editavel!$C$25/COUNTIF(Funcionarios!$D$2:$D$191,"&gt;=1"),0)+IF(AND(Funcionarios!D133&gt;=2,COUNTIF(Funcionarios!$D$2:$D$191,"&gt;=2")&gt;0),(Editavel!$B$17-SUM(Departamentos!$B:$B)-SUM(Funcionarios!$F$2:$F$191))*Editavel!$C$26/COUNTIF(Funcionarios!$D$2:$D$191,"&gt;=2"),0)+IF(AND(Funcionarios!D133&gt;=3,COUNTIF(Funcionarios!$D$2:$D$191,"&gt;=3")&gt;0),(Editavel!$B$17-SUM(Departamentos!$B:$B)-SUM(Funcionarios!$F$2:$F$191))*Editavel!$C$27/COUNTIF(Funcionarios!$D$2:$D$191,"&gt;=3"),0)+IF(AND(Funcionarios!D133&gt;=4,COUNTIF(Funcionarios!$D$2:$D$191,"&gt;=4")&gt;0),(Editavel!$B$17-SUM(Departamentos!$B:$B)-SUM(Funcionarios!$F$2:$F$191))*Editavel!$C$28/COUNTIF(Funcionarios!$D$2:$D$191,"&gt;=4"),0)+IF(AND(Funcionarios!D133&gt;=5,COUNTIF(Funcionarios!$D$2:$D$191,"&gt;=5")&gt;0),(Editavel!$B$17-SUM(Departamentos!$B:$B)-SUM(Funcionarios!$F$2:$F$191))*Editavel!$C$29/COUNTIF(Funcionarios!$D$2:$D$191,"&gt;=5"),0))*IF(Funcionarios!G133&gt;0,Funcionarios!G133/30,1)</f>
        <v>0</v>
      </c>
      <c r="D143" s="5">
        <f>IF(COUNTIF(Funcionarios!$B$2:$B$191,Funcionarios!B133)&gt;0,SUMIFS(Departamentos!$B:$B,Departamentos!$C:$C,Funcionarios!B133)/COUNTIF(Funcionarios!$B$2:$B$191,Funcionarios!B133)*IF(Funcionarios!G133&gt;0,Funcionarios!G133/30,1),0)</f>
        <v>0</v>
      </c>
      <c r="E143" s="5">
        <f>Funcionarios!$F133</f>
        <v>0</v>
      </c>
      <c r="F143" s="5">
        <f>Funcionarios!$E133</f>
        <v>0</v>
      </c>
      <c r="G143" s="5">
        <f t="shared" si="6"/>
        <v>0</v>
      </c>
    </row>
    <row r="144" spans="1:7" x14ac:dyDescent="0.25">
      <c r="A144">
        <f>Funcionarios!A134</f>
        <v>0</v>
      </c>
      <c r="B144">
        <f>Funcionarios!B134</f>
        <v>0</v>
      </c>
      <c r="C144" s="5">
        <f>(IF(AND(Funcionarios!D134&gt;=1,COUNTIF(Funcionarios!$D$2:$D$191,"&gt;=1")&gt;0),(Editavel!$B$17-SUM(Departamentos!$B:$B)-SUM(Funcionarios!$F$2:$F$191))*Editavel!$C$25/COUNTIF(Funcionarios!$D$2:$D$191,"&gt;=1"),0)+IF(AND(Funcionarios!D134&gt;=2,COUNTIF(Funcionarios!$D$2:$D$191,"&gt;=2")&gt;0),(Editavel!$B$17-SUM(Departamentos!$B:$B)-SUM(Funcionarios!$F$2:$F$191))*Editavel!$C$26/COUNTIF(Funcionarios!$D$2:$D$191,"&gt;=2"),0)+IF(AND(Funcionarios!D134&gt;=3,COUNTIF(Funcionarios!$D$2:$D$191,"&gt;=3")&gt;0),(Editavel!$B$17-SUM(Departamentos!$B:$B)-SUM(Funcionarios!$F$2:$F$191))*Editavel!$C$27/COUNTIF(Funcionarios!$D$2:$D$191,"&gt;=3"),0)+IF(AND(Funcionarios!D134&gt;=4,COUNTIF(Funcionarios!$D$2:$D$191,"&gt;=4")&gt;0),(Editavel!$B$17-SUM(Departamentos!$B:$B)-SUM(Funcionarios!$F$2:$F$191))*Editavel!$C$28/COUNTIF(Funcionarios!$D$2:$D$191,"&gt;=4"),0)+IF(AND(Funcionarios!D134&gt;=5,COUNTIF(Funcionarios!$D$2:$D$191,"&gt;=5")&gt;0),(Editavel!$B$17-SUM(Departamentos!$B:$B)-SUM(Funcionarios!$F$2:$F$191))*Editavel!$C$29/COUNTIF(Funcionarios!$D$2:$D$191,"&gt;=5"),0))*IF(Funcionarios!G134&gt;0,Funcionarios!G134/30,1)</f>
        <v>0</v>
      </c>
      <c r="D144" s="5">
        <f>IF(COUNTIF(Funcionarios!$B$2:$B$191,Funcionarios!B134)&gt;0,SUMIFS(Departamentos!$B:$B,Departamentos!$C:$C,Funcionarios!B134)/COUNTIF(Funcionarios!$B$2:$B$191,Funcionarios!B134)*IF(Funcionarios!G134&gt;0,Funcionarios!G134/30,1),0)</f>
        <v>0</v>
      </c>
      <c r="E144" s="5">
        <f>Funcionarios!$F134</f>
        <v>0</v>
      </c>
      <c r="F144" s="5">
        <f>Funcionarios!$E134</f>
        <v>0</v>
      </c>
      <c r="G144" s="5">
        <f t="shared" si="6"/>
        <v>0</v>
      </c>
    </row>
    <row r="145" spans="1:7" x14ac:dyDescent="0.25">
      <c r="A145">
        <f>Funcionarios!A135</f>
        <v>0</v>
      </c>
      <c r="B145">
        <f>Funcionarios!B135</f>
        <v>0</v>
      </c>
      <c r="C145" s="5">
        <f>(IF(AND(Funcionarios!D135&gt;=1,COUNTIF(Funcionarios!$D$2:$D$191,"&gt;=1")&gt;0),(Editavel!$B$17-SUM(Departamentos!$B:$B)-SUM(Funcionarios!$F$2:$F$191))*Editavel!$C$25/COUNTIF(Funcionarios!$D$2:$D$191,"&gt;=1"),0)+IF(AND(Funcionarios!D135&gt;=2,COUNTIF(Funcionarios!$D$2:$D$191,"&gt;=2")&gt;0),(Editavel!$B$17-SUM(Departamentos!$B:$B)-SUM(Funcionarios!$F$2:$F$191))*Editavel!$C$26/COUNTIF(Funcionarios!$D$2:$D$191,"&gt;=2"),0)+IF(AND(Funcionarios!D135&gt;=3,COUNTIF(Funcionarios!$D$2:$D$191,"&gt;=3")&gt;0),(Editavel!$B$17-SUM(Departamentos!$B:$B)-SUM(Funcionarios!$F$2:$F$191))*Editavel!$C$27/COUNTIF(Funcionarios!$D$2:$D$191,"&gt;=3"),0)+IF(AND(Funcionarios!D135&gt;=4,COUNTIF(Funcionarios!$D$2:$D$191,"&gt;=4")&gt;0),(Editavel!$B$17-SUM(Departamentos!$B:$B)-SUM(Funcionarios!$F$2:$F$191))*Editavel!$C$28/COUNTIF(Funcionarios!$D$2:$D$191,"&gt;=4"),0)+IF(AND(Funcionarios!D135&gt;=5,COUNTIF(Funcionarios!$D$2:$D$191,"&gt;=5")&gt;0),(Editavel!$B$17-SUM(Departamentos!$B:$B)-SUM(Funcionarios!$F$2:$F$191))*Editavel!$C$29/COUNTIF(Funcionarios!$D$2:$D$191,"&gt;=5"),0))*IF(Funcionarios!G135&gt;0,Funcionarios!G135/30,1)</f>
        <v>0</v>
      </c>
      <c r="D145" s="5">
        <f>IF(COUNTIF(Funcionarios!$B$2:$B$191,Funcionarios!B135)&gt;0,SUMIFS(Departamentos!$B:$B,Departamentos!$C:$C,Funcionarios!B135)/COUNTIF(Funcionarios!$B$2:$B$191,Funcionarios!B135)*IF(Funcionarios!G135&gt;0,Funcionarios!G135/30,1),0)</f>
        <v>0</v>
      </c>
      <c r="E145" s="5">
        <f>Funcionarios!$F135</f>
        <v>0</v>
      </c>
      <c r="F145" s="5">
        <f>Funcionarios!$E135</f>
        <v>0</v>
      </c>
      <c r="G145" s="5">
        <f t="shared" si="6"/>
        <v>0</v>
      </c>
    </row>
    <row r="146" spans="1:7" x14ac:dyDescent="0.25">
      <c r="A146">
        <f>Funcionarios!A136</f>
        <v>0</v>
      </c>
      <c r="B146">
        <f>Funcionarios!B136</f>
        <v>0</v>
      </c>
      <c r="C146" s="5">
        <f>(IF(AND(Funcionarios!D136&gt;=1,COUNTIF(Funcionarios!$D$2:$D$191,"&gt;=1")&gt;0),(Editavel!$B$17-SUM(Departamentos!$B:$B)-SUM(Funcionarios!$F$2:$F$191))*Editavel!$C$25/COUNTIF(Funcionarios!$D$2:$D$191,"&gt;=1"),0)+IF(AND(Funcionarios!D136&gt;=2,COUNTIF(Funcionarios!$D$2:$D$191,"&gt;=2")&gt;0),(Editavel!$B$17-SUM(Departamentos!$B:$B)-SUM(Funcionarios!$F$2:$F$191))*Editavel!$C$26/COUNTIF(Funcionarios!$D$2:$D$191,"&gt;=2"),0)+IF(AND(Funcionarios!D136&gt;=3,COUNTIF(Funcionarios!$D$2:$D$191,"&gt;=3")&gt;0),(Editavel!$B$17-SUM(Departamentos!$B:$B)-SUM(Funcionarios!$F$2:$F$191))*Editavel!$C$27/COUNTIF(Funcionarios!$D$2:$D$191,"&gt;=3"),0)+IF(AND(Funcionarios!D136&gt;=4,COUNTIF(Funcionarios!$D$2:$D$191,"&gt;=4")&gt;0),(Editavel!$B$17-SUM(Departamentos!$B:$B)-SUM(Funcionarios!$F$2:$F$191))*Editavel!$C$28/COUNTIF(Funcionarios!$D$2:$D$191,"&gt;=4"),0)+IF(AND(Funcionarios!D136&gt;=5,COUNTIF(Funcionarios!$D$2:$D$191,"&gt;=5")&gt;0),(Editavel!$B$17-SUM(Departamentos!$B:$B)-SUM(Funcionarios!$F$2:$F$191))*Editavel!$C$29/COUNTIF(Funcionarios!$D$2:$D$191,"&gt;=5"),0))*IF(Funcionarios!G136&gt;0,Funcionarios!G136/30,1)</f>
        <v>0</v>
      </c>
      <c r="D146" s="5">
        <f>IF(COUNTIF(Funcionarios!$B$2:$B$191,Funcionarios!B136)&gt;0,SUMIFS(Departamentos!$B:$B,Departamentos!$C:$C,Funcionarios!B136)/COUNTIF(Funcionarios!$B$2:$B$191,Funcionarios!B136)*IF(Funcionarios!G136&gt;0,Funcionarios!G136/30,1),0)</f>
        <v>0</v>
      </c>
      <c r="E146" s="5">
        <f>Funcionarios!$F136</f>
        <v>0</v>
      </c>
      <c r="F146" s="5">
        <f>Funcionarios!$E136</f>
        <v>0</v>
      </c>
      <c r="G146" s="5">
        <f t="shared" si="6"/>
        <v>0</v>
      </c>
    </row>
    <row r="147" spans="1:7" x14ac:dyDescent="0.25">
      <c r="A147">
        <f>Funcionarios!A137</f>
        <v>0</v>
      </c>
      <c r="B147">
        <f>Funcionarios!B137</f>
        <v>0</v>
      </c>
      <c r="C147" s="5">
        <f>(IF(AND(Funcionarios!D137&gt;=1,COUNTIF(Funcionarios!$D$2:$D$191,"&gt;=1")&gt;0),(Editavel!$B$17-SUM(Departamentos!$B:$B)-SUM(Funcionarios!$F$2:$F$191))*Editavel!$C$25/COUNTIF(Funcionarios!$D$2:$D$191,"&gt;=1"),0)+IF(AND(Funcionarios!D137&gt;=2,COUNTIF(Funcionarios!$D$2:$D$191,"&gt;=2")&gt;0),(Editavel!$B$17-SUM(Departamentos!$B:$B)-SUM(Funcionarios!$F$2:$F$191))*Editavel!$C$26/COUNTIF(Funcionarios!$D$2:$D$191,"&gt;=2"),0)+IF(AND(Funcionarios!D137&gt;=3,COUNTIF(Funcionarios!$D$2:$D$191,"&gt;=3")&gt;0),(Editavel!$B$17-SUM(Departamentos!$B:$B)-SUM(Funcionarios!$F$2:$F$191))*Editavel!$C$27/COUNTIF(Funcionarios!$D$2:$D$191,"&gt;=3"),0)+IF(AND(Funcionarios!D137&gt;=4,COUNTIF(Funcionarios!$D$2:$D$191,"&gt;=4")&gt;0),(Editavel!$B$17-SUM(Departamentos!$B:$B)-SUM(Funcionarios!$F$2:$F$191))*Editavel!$C$28/COUNTIF(Funcionarios!$D$2:$D$191,"&gt;=4"),0)+IF(AND(Funcionarios!D137&gt;=5,COUNTIF(Funcionarios!$D$2:$D$191,"&gt;=5")&gt;0),(Editavel!$B$17-SUM(Departamentos!$B:$B)-SUM(Funcionarios!$F$2:$F$191))*Editavel!$C$29/COUNTIF(Funcionarios!$D$2:$D$191,"&gt;=5"),0))*IF(Funcionarios!G137&gt;0,Funcionarios!G137/30,1)</f>
        <v>0</v>
      </c>
      <c r="D147" s="5">
        <f>IF(COUNTIF(Funcionarios!$B$2:$B$191,Funcionarios!B137)&gt;0,SUMIFS(Departamentos!$B:$B,Departamentos!$C:$C,Funcionarios!B137)/COUNTIF(Funcionarios!$B$2:$B$191,Funcionarios!B137)*IF(Funcionarios!G137&gt;0,Funcionarios!G137/30,1),0)</f>
        <v>0</v>
      </c>
      <c r="E147" s="5">
        <f>Funcionarios!$F137</f>
        <v>0</v>
      </c>
      <c r="F147" s="5">
        <f>Funcionarios!$E137</f>
        <v>0</v>
      </c>
      <c r="G147" s="5">
        <f t="shared" si="6"/>
        <v>0</v>
      </c>
    </row>
    <row r="148" spans="1:7" x14ac:dyDescent="0.25">
      <c r="A148">
        <f>Funcionarios!A138</f>
        <v>0</v>
      </c>
      <c r="B148">
        <f>Funcionarios!B138</f>
        <v>0</v>
      </c>
      <c r="C148" s="5">
        <f>(IF(AND(Funcionarios!D138&gt;=1,COUNTIF(Funcionarios!$D$2:$D$191,"&gt;=1")&gt;0),(Editavel!$B$17-SUM(Departamentos!$B:$B)-SUM(Funcionarios!$F$2:$F$191))*Editavel!$C$25/COUNTIF(Funcionarios!$D$2:$D$191,"&gt;=1"),0)+IF(AND(Funcionarios!D138&gt;=2,COUNTIF(Funcionarios!$D$2:$D$191,"&gt;=2")&gt;0),(Editavel!$B$17-SUM(Departamentos!$B:$B)-SUM(Funcionarios!$F$2:$F$191))*Editavel!$C$26/COUNTIF(Funcionarios!$D$2:$D$191,"&gt;=2"),0)+IF(AND(Funcionarios!D138&gt;=3,COUNTIF(Funcionarios!$D$2:$D$191,"&gt;=3")&gt;0),(Editavel!$B$17-SUM(Departamentos!$B:$B)-SUM(Funcionarios!$F$2:$F$191))*Editavel!$C$27/COUNTIF(Funcionarios!$D$2:$D$191,"&gt;=3"),0)+IF(AND(Funcionarios!D138&gt;=4,COUNTIF(Funcionarios!$D$2:$D$191,"&gt;=4")&gt;0),(Editavel!$B$17-SUM(Departamentos!$B:$B)-SUM(Funcionarios!$F$2:$F$191))*Editavel!$C$28/COUNTIF(Funcionarios!$D$2:$D$191,"&gt;=4"),0)+IF(AND(Funcionarios!D138&gt;=5,COUNTIF(Funcionarios!$D$2:$D$191,"&gt;=5")&gt;0),(Editavel!$B$17-SUM(Departamentos!$B:$B)-SUM(Funcionarios!$F$2:$F$191))*Editavel!$C$29/COUNTIF(Funcionarios!$D$2:$D$191,"&gt;=5"),0))*IF(Funcionarios!G138&gt;0,Funcionarios!G138/30,1)</f>
        <v>0</v>
      </c>
      <c r="D148" s="5">
        <f>IF(COUNTIF(Funcionarios!$B$2:$B$191,Funcionarios!B138)&gt;0,SUMIFS(Departamentos!$B:$B,Departamentos!$C:$C,Funcionarios!B138)/COUNTIF(Funcionarios!$B$2:$B$191,Funcionarios!B138)*IF(Funcionarios!G138&gt;0,Funcionarios!G138/30,1),0)</f>
        <v>0</v>
      </c>
      <c r="E148" s="5">
        <f>Funcionarios!$F138</f>
        <v>0</v>
      </c>
      <c r="F148" s="5">
        <f>Funcionarios!$E138</f>
        <v>0</v>
      </c>
      <c r="G148" s="5">
        <f t="shared" si="6"/>
        <v>0</v>
      </c>
    </row>
    <row r="149" spans="1:7" x14ac:dyDescent="0.25">
      <c r="A149">
        <f>Funcionarios!A139</f>
        <v>0</v>
      </c>
      <c r="B149">
        <f>Funcionarios!B139</f>
        <v>0</v>
      </c>
      <c r="C149" s="5">
        <f>(IF(AND(Funcionarios!D139&gt;=1,COUNTIF(Funcionarios!$D$2:$D$191,"&gt;=1")&gt;0),(Editavel!$B$17-SUM(Departamentos!$B:$B)-SUM(Funcionarios!$F$2:$F$191))*Editavel!$C$25/COUNTIF(Funcionarios!$D$2:$D$191,"&gt;=1"),0)+IF(AND(Funcionarios!D139&gt;=2,COUNTIF(Funcionarios!$D$2:$D$191,"&gt;=2")&gt;0),(Editavel!$B$17-SUM(Departamentos!$B:$B)-SUM(Funcionarios!$F$2:$F$191))*Editavel!$C$26/COUNTIF(Funcionarios!$D$2:$D$191,"&gt;=2"),0)+IF(AND(Funcionarios!D139&gt;=3,COUNTIF(Funcionarios!$D$2:$D$191,"&gt;=3")&gt;0),(Editavel!$B$17-SUM(Departamentos!$B:$B)-SUM(Funcionarios!$F$2:$F$191))*Editavel!$C$27/COUNTIF(Funcionarios!$D$2:$D$191,"&gt;=3"),0)+IF(AND(Funcionarios!D139&gt;=4,COUNTIF(Funcionarios!$D$2:$D$191,"&gt;=4")&gt;0),(Editavel!$B$17-SUM(Departamentos!$B:$B)-SUM(Funcionarios!$F$2:$F$191))*Editavel!$C$28/COUNTIF(Funcionarios!$D$2:$D$191,"&gt;=4"),0)+IF(AND(Funcionarios!D139&gt;=5,COUNTIF(Funcionarios!$D$2:$D$191,"&gt;=5")&gt;0),(Editavel!$B$17-SUM(Departamentos!$B:$B)-SUM(Funcionarios!$F$2:$F$191))*Editavel!$C$29/COUNTIF(Funcionarios!$D$2:$D$191,"&gt;=5"),0))*IF(Funcionarios!G139&gt;0,Funcionarios!G139/30,1)</f>
        <v>0</v>
      </c>
      <c r="D149" s="5">
        <f>IF(COUNTIF(Funcionarios!$B$2:$B$191,Funcionarios!B139)&gt;0,SUMIFS(Departamentos!$B:$B,Departamentos!$C:$C,Funcionarios!B139)/COUNTIF(Funcionarios!$B$2:$B$191,Funcionarios!B139)*IF(Funcionarios!G139&gt;0,Funcionarios!G139/30,1),0)</f>
        <v>0</v>
      </c>
      <c r="E149" s="5">
        <f>Funcionarios!$F139</f>
        <v>0</v>
      </c>
      <c r="F149" s="5">
        <f>Funcionarios!$E139</f>
        <v>0</v>
      </c>
      <c r="G149" s="5">
        <f t="shared" si="6"/>
        <v>0</v>
      </c>
    </row>
    <row r="150" spans="1:7" x14ac:dyDescent="0.25">
      <c r="A150">
        <f>Funcionarios!A140</f>
        <v>0</v>
      </c>
      <c r="B150">
        <f>Funcionarios!B140</f>
        <v>0</v>
      </c>
      <c r="C150" s="5">
        <f>(IF(AND(Funcionarios!D140&gt;=1,COUNTIF(Funcionarios!$D$2:$D$191,"&gt;=1")&gt;0),(Editavel!$B$17-SUM(Departamentos!$B:$B)-SUM(Funcionarios!$F$2:$F$191))*Editavel!$C$25/COUNTIF(Funcionarios!$D$2:$D$191,"&gt;=1"),0)+IF(AND(Funcionarios!D140&gt;=2,COUNTIF(Funcionarios!$D$2:$D$191,"&gt;=2")&gt;0),(Editavel!$B$17-SUM(Departamentos!$B:$B)-SUM(Funcionarios!$F$2:$F$191))*Editavel!$C$26/COUNTIF(Funcionarios!$D$2:$D$191,"&gt;=2"),0)+IF(AND(Funcionarios!D140&gt;=3,COUNTIF(Funcionarios!$D$2:$D$191,"&gt;=3")&gt;0),(Editavel!$B$17-SUM(Departamentos!$B:$B)-SUM(Funcionarios!$F$2:$F$191))*Editavel!$C$27/COUNTIF(Funcionarios!$D$2:$D$191,"&gt;=3"),0)+IF(AND(Funcionarios!D140&gt;=4,COUNTIF(Funcionarios!$D$2:$D$191,"&gt;=4")&gt;0),(Editavel!$B$17-SUM(Departamentos!$B:$B)-SUM(Funcionarios!$F$2:$F$191))*Editavel!$C$28/COUNTIF(Funcionarios!$D$2:$D$191,"&gt;=4"),0)+IF(AND(Funcionarios!D140&gt;=5,COUNTIF(Funcionarios!$D$2:$D$191,"&gt;=5")&gt;0),(Editavel!$B$17-SUM(Departamentos!$B:$B)-SUM(Funcionarios!$F$2:$F$191))*Editavel!$C$29/COUNTIF(Funcionarios!$D$2:$D$191,"&gt;=5"),0))*IF(Funcionarios!G140&gt;0,Funcionarios!G140/30,1)</f>
        <v>0</v>
      </c>
      <c r="D150" s="5">
        <f>IF(COUNTIF(Funcionarios!$B$2:$B$191,Funcionarios!B140)&gt;0,SUMIFS(Departamentos!$B:$B,Departamentos!$C:$C,Funcionarios!B140)/COUNTIF(Funcionarios!$B$2:$B$191,Funcionarios!B140)*IF(Funcionarios!G140&gt;0,Funcionarios!G140/30,1),0)</f>
        <v>0</v>
      </c>
      <c r="E150" s="5">
        <f>Funcionarios!$F140</f>
        <v>0</v>
      </c>
      <c r="F150" s="5">
        <f>Funcionarios!$E140</f>
        <v>0</v>
      </c>
      <c r="G150" s="5">
        <f t="shared" si="6"/>
        <v>0</v>
      </c>
    </row>
    <row r="151" spans="1:7" x14ac:dyDescent="0.25">
      <c r="A151">
        <f>Funcionarios!A141</f>
        <v>0</v>
      </c>
      <c r="B151">
        <f>Funcionarios!B141</f>
        <v>0</v>
      </c>
      <c r="C151" s="5">
        <f>(IF(AND(Funcionarios!D141&gt;=1,COUNTIF(Funcionarios!$D$2:$D$191,"&gt;=1")&gt;0),(Editavel!$B$17-SUM(Departamentos!$B:$B)-SUM(Funcionarios!$F$2:$F$191))*Editavel!$C$25/COUNTIF(Funcionarios!$D$2:$D$191,"&gt;=1"),0)+IF(AND(Funcionarios!D141&gt;=2,COUNTIF(Funcionarios!$D$2:$D$191,"&gt;=2")&gt;0),(Editavel!$B$17-SUM(Departamentos!$B:$B)-SUM(Funcionarios!$F$2:$F$191))*Editavel!$C$26/COUNTIF(Funcionarios!$D$2:$D$191,"&gt;=2"),0)+IF(AND(Funcionarios!D141&gt;=3,COUNTIF(Funcionarios!$D$2:$D$191,"&gt;=3")&gt;0),(Editavel!$B$17-SUM(Departamentos!$B:$B)-SUM(Funcionarios!$F$2:$F$191))*Editavel!$C$27/COUNTIF(Funcionarios!$D$2:$D$191,"&gt;=3"),0)+IF(AND(Funcionarios!D141&gt;=4,COUNTIF(Funcionarios!$D$2:$D$191,"&gt;=4")&gt;0),(Editavel!$B$17-SUM(Departamentos!$B:$B)-SUM(Funcionarios!$F$2:$F$191))*Editavel!$C$28/COUNTIF(Funcionarios!$D$2:$D$191,"&gt;=4"),0)+IF(AND(Funcionarios!D141&gt;=5,COUNTIF(Funcionarios!$D$2:$D$191,"&gt;=5")&gt;0),(Editavel!$B$17-SUM(Departamentos!$B:$B)-SUM(Funcionarios!$F$2:$F$191))*Editavel!$C$29/COUNTIF(Funcionarios!$D$2:$D$191,"&gt;=5"),0))*IF(Funcionarios!G141&gt;0,Funcionarios!G141/30,1)</f>
        <v>0</v>
      </c>
      <c r="D151" s="5">
        <f>IF(COUNTIF(Funcionarios!$B$2:$B$191,Funcionarios!B141)&gt;0,SUMIFS(Departamentos!$B:$B,Departamentos!$C:$C,Funcionarios!B141)/COUNTIF(Funcionarios!$B$2:$B$191,Funcionarios!B141)*IF(Funcionarios!G141&gt;0,Funcionarios!G141/30,1),0)</f>
        <v>0</v>
      </c>
      <c r="E151" s="5">
        <f>Funcionarios!$F141</f>
        <v>0</v>
      </c>
      <c r="F151" s="5">
        <f>Funcionarios!$E141</f>
        <v>0</v>
      </c>
      <c r="G151" s="5">
        <f t="shared" si="6"/>
        <v>0</v>
      </c>
    </row>
    <row r="152" spans="1:7" x14ac:dyDescent="0.25">
      <c r="A152">
        <f>Funcionarios!A142</f>
        <v>0</v>
      </c>
      <c r="B152">
        <f>Funcionarios!B142</f>
        <v>0</v>
      </c>
      <c r="C152" s="5">
        <f>(IF(AND(Funcionarios!D142&gt;=1,COUNTIF(Funcionarios!$D$2:$D$191,"&gt;=1")&gt;0),(Editavel!$B$17-SUM(Departamentos!$B:$B)-SUM(Funcionarios!$F$2:$F$191))*Editavel!$C$25/COUNTIF(Funcionarios!$D$2:$D$191,"&gt;=1"),0)+IF(AND(Funcionarios!D142&gt;=2,COUNTIF(Funcionarios!$D$2:$D$191,"&gt;=2")&gt;0),(Editavel!$B$17-SUM(Departamentos!$B:$B)-SUM(Funcionarios!$F$2:$F$191))*Editavel!$C$26/COUNTIF(Funcionarios!$D$2:$D$191,"&gt;=2"),0)+IF(AND(Funcionarios!D142&gt;=3,COUNTIF(Funcionarios!$D$2:$D$191,"&gt;=3")&gt;0),(Editavel!$B$17-SUM(Departamentos!$B:$B)-SUM(Funcionarios!$F$2:$F$191))*Editavel!$C$27/COUNTIF(Funcionarios!$D$2:$D$191,"&gt;=3"),0)+IF(AND(Funcionarios!D142&gt;=4,COUNTIF(Funcionarios!$D$2:$D$191,"&gt;=4")&gt;0),(Editavel!$B$17-SUM(Departamentos!$B:$B)-SUM(Funcionarios!$F$2:$F$191))*Editavel!$C$28/COUNTIF(Funcionarios!$D$2:$D$191,"&gt;=4"),0)+IF(AND(Funcionarios!D142&gt;=5,COUNTIF(Funcionarios!$D$2:$D$191,"&gt;=5")&gt;0),(Editavel!$B$17-SUM(Departamentos!$B:$B)-SUM(Funcionarios!$F$2:$F$191))*Editavel!$C$29/COUNTIF(Funcionarios!$D$2:$D$191,"&gt;=5"),0))*IF(Funcionarios!G142&gt;0,Funcionarios!G142/30,1)</f>
        <v>0</v>
      </c>
      <c r="D152" s="5">
        <f>IF(COUNTIF(Funcionarios!$B$2:$B$191,Funcionarios!B142)&gt;0,SUMIFS(Departamentos!$B:$B,Departamentos!$C:$C,Funcionarios!B142)/COUNTIF(Funcionarios!$B$2:$B$191,Funcionarios!B142)*IF(Funcionarios!G142&gt;0,Funcionarios!G142/30,1),0)</f>
        <v>0</v>
      </c>
      <c r="E152" s="5">
        <f>Funcionarios!$F142</f>
        <v>0</v>
      </c>
      <c r="F152" s="5">
        <f>Funcionarios!$E142</f>
        <v>0</v>
      </c>
      <c r="G152" s="5">
        <f t="shared" si="6"/>
        <v>0</v>
      </c>
    </row>
    <row r="153" spans="1:7" x14ac:dyDescent="0.25">
      <c r="A153">
        <f>Funcionarios!A143</f>
        <v>0</v>
      </c>
      <c r="B153">
        <f>Funcionarios!B143</f>
        <v>0</v>
      </c>
      <c r="C153" s="5">
        <f>(IF(AND(Funcionarios!D143&gt;=1,COUNTIF(Funcionarios!$D$2:$D$191,"&gt;=1")&gt;0),(Editavel!$B$17-SUM(Departamentos!$B:$B)-SUM(Funcionarios!$F$2:$F$191))*Editavel!$C$25/COUNTIF(Funcionarios!$D$2:$D$191,"&gt;=1"),0)+IF(AND(Funcionarios!D143&gt;=2,COUNTIF(Funcionarios!$D$2:$D$191,"&gt;=2")&gt;0),(Editavel!$B$17-SUM(Departamentos!$B:$B)-SUM(Funcionarios!$F$2:$F$191))*Editavel!$C$26/COUNTIF(Funcionarios!$D$2:$D$191,"&gt;=2"),0)+IF(AND(Funcionarios!D143&gt;=3,COUNTIF(Funcionarios!$D$2:$D$191,"&gt;=3")&gt;0),(Editavel!$B$17-SUM(Departamentos!$B:$B)-SUM(Funcionarios!$F$2:$F$191))*Editavel!$C$27/COUNTIF(Funcionarios!$D$2:$D$191,"&gt;=3"),0)+IF(AND(Funcionarios!D143&gt;=4,COUNTIF(Funcionarios!$D$2:$D$191,"&gt;=4")&gt;0),(Editavel!$B$17-SUM(Departamentos!$B:$B)-SUM(Funcionarios!$F$2:$F$191))*Editavel!$C$28/COUNTIF(Funcionarios!$D$2:$D$191,"&gt;=4"),0)+IF(AND(Funcionarios!D143&gt;=5,COUNTIF(Funcionarios!$D$2:$D$191,"&gt;=5")&gt;0),(Editavel!$B$17-SUM(Departamentos!$B:$B)-SUM(Funcionarios!$F$2:$F$191))*Editavel!$C$29/COUNTIF(Funcionarios!$D$2:$D$191,"&gt;=5"),0))*IF(Funcionarios!G143&gt;0,Funcionarios!G143/30,1)</f>
        <v>0</v>
      </c>
      <c r="D153" s="5">
        <f>IF(COUNTIF(Funcionarios!$B$2:$B$191,Funcionarios!B143)&gt;0,SUMIFS(Departamentos!$B:$B,Departamentos!$C:$C,Funcionarios!B143)/COUNTIF(Funcionarios!$B$2:$B$191,Funcionarios!B143)*IF(Funcionarios!G143&gt;0,Funcionarios!G143/30,1),0)</f>
        <v>0</v>
      </c>
      <c r="E153" s="5">
        <f>Funcionarios!$F143</f>
        <v>0</v>
      </c>
      <c r="F153" s="5">
        <f>Funcionarios!$E143</f>
        <v>0</v>
      </c>
      <c r="G153" s="5">
        <f t="shared" si="6"/>
        <v>0</v>
      </c>
    </row>
    <row r="154" spans="1:7" x14ac:dyDescent="0.25">
      <c r="A154">
        <f>Funcionarios!A144</f>
        <v>0</v>
      </c>
      <c r="B154">
        <f>Funcionarios!B144</f>
        <v>0</v>
      </c>
      <c r="C154" s="5">
        <f>(IF(AND(Funcionarios!D144&gt;=1,COUNTIF(Funcionarios!$D$2:$D$191,"&gt;=1")&gt;0),(Editavel!$B$17-SUM(Departamentos!$B:$B)-SUM(Funcionarios!$F$2:$F$191))*Editavel!$C$25/COUNTIF(Funcionarios!$D$2:$D$191,"&gt;=1"),0)+IF(AND(Funcionarios!D144&gt;=2,COUNTIF(Funcionarios!$D$2:$D$191,"&gt;=2")&gt;0),(Editavel!$B$17-SUM(Departamentos!$B:$B)-SUM(Funcionarios!$F$2:$F$191))*Editavel!$C$26/COUNTIF(Funcionarios!$D$2:$D$191,"&gt;=2"),0)+IF(AND(Funcionarios!D144&gt;=3,COUNTIF(Funcionarios!$D$2:$D$191,"&gt;=3")&gt;0),(Editavel!$B$17-SUM(Departamentos!$B:$B)-SUM(Funcionarios!$F$2:$F$191))*Editavel!$C$27/COUNTIF(Funcionarios!$D$2:$D$191,"&gt;=3"),0)+IF(AND(Funcionarios!D144&gt;=4,COUNTIF(Funcionarios!$D$2:$D$191,"&gt;=4")&gt;0),(Editavel!$B$17-SUM(Departamentos!$B:$B)-SUM(Funcionarios!$F$2:$F$191))*Editavel!$C$28/COUNTIF(Funcionarios!$D$2:$D$191,"&gt;=4"),0)+IF(AND(Funcionarios!D144&gt;=5,COUNTIF(Funcionarios!$D$2:$D$191,"&gt;=5")&gt;0),(Editavel!$B$17-SUM(Departamentos!$B:$B)-SUM(Funcionarios!$F$2:$F$191))*Editavel!$C$29/COUNTIF(Funcionarios!$D$2:$D$191,"&gt;=5"),0))*IF(Funcionarios!G144&gt;0,Funcionarios!G144/30,1)</f>
        <v>0</v>
      </c>
      <c r="D154" s="5">
        <f>IF(COUNTIF(Funcionarios!$B$2:$B$191,Funcionarios!B144)&gt;0,SUMIFS(Departamentos!$B:$B,Departamentos!$C:$C,Funcionarios!B144)/COUNTIF(Funcionarios!$B$2:$B$191,Funcionarios!B144)*IF(Funcionarios!G144&gt;0,Funcionarios!G144/30,1),0)</f>
        <v>0</v>
      </c>
      <c r="E154" s="5">
        <f>Funcionarios!$F144</f>
        <v>0</v>
      </c>
      <c r="F154" s="5">
        <f>Funcionarios!$E144</f>
        <v>0</v>
      </c>
      <c r="G154" s="5">
        <f t="shared" si="6"/>
        <v>0</v>
      </c>
    </row>
    <row r="155" spans="1:7" x14ac:dyDescent="0.25">
      <c r="A155">
        <f>Funcionarios!A145</f>
        <v>0</v>
      </c>
      <c r="B155">
        <f>Funcionarios!B145</f>
        <v>0</v>
      </c>
      <c r="C155" s="5">
        <f>(IF(AND(Funcionarios!D145&gt;=1,COUNTIF(Funcionarios!$D$2:$D$191,"&gt;=1")&gt;0),(Editavel!$B$17-SUM(Departamentos!$B:$B)-SUM(Funcionarios!$F$2:$F$191))*Editavel!$C$25/COUNTIF(Funcionarios!$D$2:$D$191,"&gt;=1"),0)+IF(AND(Funcionarios!D145&gt;=2,COUNTIF(Funcionarios!$D$2:$D$191,"&gt;=2")&gt;0),(Editavel!$B$17-SUM(Departamentos!$B:$B)-SUM(Funcionarios!$F$2:$F$191))*Editavel!$C$26/COUNTIF(Funcionarios!$D$2:$D$191,"&gt;=2"),0)+IF(AND(Funcionarios!D145&gt;=3,COUNTIF(Funcionarios!$D$2:$D$191,"&gt;=3")&gt;0),(Editavel!$B$17-SUM(Departamentos!$B:$B)-SUM(Funcionarios!$F$2:$F$191))*Editavel!$C$27/COUNTIF(Funcionarios!$D$2:$D$191,"&gt;=3"),0)+IF(AND(Funcionarios!D145&gt;=4,COUNTIF(Funcionarios!$D$2:$D$191,"&gt;=4")&gt;0),(Editavel!$B$17-SUM(Departamentos!$B:$B)-SUM(Funcionarios!$F$2:$F$191))*Editavel!$C$28/COUNTIF(Funcionarios!$D$2:$D$191,"&gt;=4"),0)+IF(AND(Funcionarios!D145&gt;=5,COUNTIF(Funcionarios!$D$2:$D$191,"&gt;=5")&gt;0),(Editavel!$B$17-SUM(Departamentos!$B:$B)-SUM(Funcionarios!$F$2:$F$191))*Editavel!$C$29/COUNTIF(Funcionarios!$D$2:$D$191,"&gt;=5"),0))*IF(Funcionarios!G145&gt;0,Funcionarios!G145/30,1)</f>
        <v>0</v>
      </c>
      <c r="D155" s="5">
        <f>IF(COUNTIF(Funcionarios!$B$2:$B$191,Funcionarios!B145)&gt;0,SUMIFS(Departamentos!$B:$B,Departamentos!$C:$C,Funcionarios!B145)/COUNTIF(Funcionarios!$B$2:$B$191,Funcionarios!B145)*IF(Funcionarios!G145&gt;0,Funcionarios!G145/30,1),0)</f>
        <v>0</v>
      </c>
      <c r="E155" s="5">
        <f>Funcionarios!$F145</f>
        <v>0</v>
      </c>
      <c r="F155" s="5">
        <f>Funcionarios!$E145</f>
        <v>0</v>
      </c>
      <c r="G155" s="5">
        <f t="shared" si="6"/>
        <v>0</v>
      </c>
    </row>
    <row r="156" spans="1:7" x14ac:dyDescent="0.25">
      <c r="A156">
        <f>Funcionarios!A146</f>
        <v>0</v>
      </c>
      <c r="B156">
        <f>Funcionarios!B146</f>
        <v>0</v>
      </c>
      <c r="C156" s="5">
        <f>(IF(AND(Funcionarios!D146&gt;=1,COUNTIF(Funcionarios!$D$2:$D$191,"&gt;=1")&gt;0),(Editavel!$B$17-SUM(Departamentos!$B:$B)-SUM(Funcionarios!$F$2:$F$191))*Editavel!$C$25/COUNTIF(Funcionarios!$D$2:$D$191,"&gt;=1"),0)+IF(AND(Funcionarios!D146&gt;=2,COUNTIF(Funcionarios!$D$2:$D$191,"&gt;=2")&gt;0),(Editavel!$B$17-SUM(Departamentos!$B:$B)-SUM(Funcionarios!$F$2:$F$191))*Editavel!$C$26/COUNTIF(Funcionarios!$D$2:$D$191,"&gt;=2"),0)+IF(AND(Funcionarios!D146&gt;=3,COUNTIF(Funcionarios!$D$2:$D$191,"&gt;=3")&gt;0),(Editavel!$B$17-SUM(Departamentos!$B:$B)-SUM(Funcionarios!$F$2:$F$191))*Editavel!$C$27/COUNTIF(Funcionarios!$D$2:$D$191,"&gt;=3"),0)+IF(AND(Funcionarios!D146&gt;=4,COUNTIF(Funcionarios!$D$2:$D$191,"&gt;=4")&gt;0),(Editavel!$B$17-SUM(Departamentos!$B:$B)-SUM(Funcionarios!$F$2:$F$191))*Editavel!$C$28/COUNTIF(Funcionarios!$D$2:$D$191,"&gt;=4"),0)+IF(AND(Funcionarios!D146&gt;=5,COUNTIF(Funcionarios!$D$2:$D$191,"&gt;=5")&gt;0),(Editavel!$B$17-SUM(Departamentos!$B:$B)-SUM(Funcionarios!$F$2:$F$191))*Editavel!$C$29/COUNTIF(Funcionarios!$D$2:$D$191,"&gt;=5"),0))*IF(Funcionarios!G146&gt;0,Funcionarios!G146/30,1)</f>
        <v>0</v>
      </c>
      <c r="D156" s="5">
        <f>IF(COUNTIF(Funcionarios!$B$2:$B$191,Funcionarios!B146)&gt;0,SUMIFS(Departamentos!$B:$B,Departamentos!$C:$C,Funcionarios!B146)/COUNTIF(Funcionarios!$B$2:$B$191,Funcionarios!B146)*IF(Funcionarios!G146&gt;0,Funcionarios!G146/30,1),0)</f>
        <v>0</v>
      </c>
      <c r="E156" s="5">
        <f>Funcionarios!$F146</f>
        <v>0</v>
      </c>
      <c r="F156" s="5">
        <f>Funcionarios!$E146</f>
        <v>0</v>
      </c>
      <c r="G156" s="5">
        <f t="shared" si="6"/>
        <v>0</v>
      </c>
    </row>
    <row r="157" spans="1:7" x14ac:dyDescent="0.25">
      <c r="A157">
        <f>Funcionarios!A147</f>
        <v>0</v>
      </c>
      <c r="B157">
        <f>Funcionarios!B147</f>
        <v>0</v>
      </c>
      <c r="C157" s="5">
        <f>(IF(AND(Funcionarios!D147&gt;=1,COUNTIF(Funcionarios!$D$2:$D$191,"&gt;=1")&gt;0),(Editavel!$B$17-SUM(Departamentos!$B:$B)-SUM(Funcionarios!$F$2:$F$191))*Editavel!$C$25/COUNTIF(Funcionarios!$D$2:$D$191,"&gt;=1"),0)+IF(AND(Funcionarios!D147&gt;=2,COUNTIF(Funcionarios!$D$2:$D$191,"&gt;=2")&gt;0),(Editavel!$B$17-SUM(Departamentos!$B:$B)-SUM(Funcionarios!$F$2:$F$191))*Editavel!$C$26/COUNTIF(Funcionarios!$D$2:$D$191,"&gt;=2"),0)+IF(AND(Funcionarios!D147&gt;=3,COUNTIF(Funcionarios!$D$2:$D$191,"&gt;=3")&gt;0),(Editavel!$B$17-SUM(Departamentos!$B:$B)-SUM(Funcionarios!$F$2:$F$191))*Editavel!$C$27/COUNTIF(Funcionarios!$D$2:$D$191,"&gt;=3"),0)+IF(AND(Funcionarios!D147&gt;=4,COUNTIF(Funcionarios!$D$2:$D$191,"&gt;=4")&gt;0),(Editavel!$B$17-SUM(Departamentos!$B:$B)-SUM(Funcionarios!$F$2:$F$191))*Editavel!$C$28/COUNTIF(Funcionarios!$D$2:$D$191,"&gt;=4"),0)+IF(AND(Funcionarios!D147&gt;=5,COUNTIF(Funcionarios!$D$2:$D$191,"&gt;=5")&gt;0),(Editavel!$B$17-SUM(Departamentos!$B:$B)-SUM(Funcionarios!$F$2:$F$191))*Editavel!$C$29/COUNTIF(Funcionarios!$D$2:$D$191,"&gt;=5"),0))*IF(Funcionarios!G147&gt;0,Funcionarios!G147/30,1)</f>
        <v>0</v>
      </c>
      <c r="D157" s="5">
        <f>IF(COUNTIF(Funcionarios!$B$2:$B$191,Funcionarios!B147)&gt;0,SUMIFS(Departamentos!$B:$B,Departamentos!$C:$C,Funcionarios!B147)/COUNTIF(Funcionarios!$B$2:$B$191,Funcionarios!B147)*IF(Funcionarios!G147&gt;0,Funcionarios!G147/30,1),0)</f>
        <v>0</v>
      </c>
      <c r="E157" s="5">
        <f>Funcionarios!$F147</f>
        <v>0</v>
      </c>
      <c r="F157" s="5">
        <f>Funcionarios!$E147</f>
        <v>0</v>
      </c>
      <c r="G157" s="5">
        <f t="shared" si="6"/>
        <v>0</v>
      </c>
    </row>
    <row r="158" spans="1:7" x14ac:dyDescent="0.25">
      <c r="A158">
        <f>Funcionarios!A148</f>
        <v>0</v>
      </c>
      <c r="B158">
        <f>Funcionarios!B148</f>
        <v>0</v>
      </c>
      <c r="C158" s="5">
        <f>(IF(AND(Funcionarios!D148&gt;=1,COUNTIF(Funcionarios!$D$2:$D$191,"&gt;=1")&gt;0),(Editavel!$B$17-SUM(Departamentos!$B:$B)-SUM(Funcionarios!$F$2:$F$191))*Editavel!$C$25/COUNTIF(Funcionarios!$D$2:$D$191,"&gt;=1"),0)+IF(AND(Funcionarios!D148&gt;=2,COUNTIF(Funcionarios!$D$2:$D$191,"&gt;=2")&gt;0),(Editavel!$B$17-SUM(Departamentos!$B:$B)-SUM(Funcionarios!$F$2:$F$191))*Editavel!$C$26/COUNTIF(Funcionarios!$D$2:$D$191,"&gt;=2"),0)+IF(AND(Funcionarios!D148&gt;=3,COUNTIF(Funcionarios!$D$2:$D$191,"&gt;=3")&gt;0),(Editavel!$B$17-SUM(Departamentos!$B:$B)-SUM(Funcionarios!$F$2:$F$191))*Editavel!$C$27/COUNTIF(Funcionarios!$D$2:$D$191,"&gt;=3"),0)+IF(AND(Funcionarios!D148&gt;=4,COUNTIF(Funcionarios!$D$2:$D$191,"&gt;=4")&gt;0),(Editavel!$B$17-SUM(Departamentos!$B:$B)-SUM(Funcionarios!$F$2:$F$191))*Editavel!$C$28/COUNTIF(Funcionarios!$D$2:$D$191,"&gt;=4"),0)+IF(AND(Funcionarios!D148&gt;=5,COUNTIF(Funcionarios!$D$2:$D$191,"&gt;=5")&gt;0),(Editavel!$B$17-SUM(Departamentos!$B:$B)-SUM(Funcionarios!$F$2:$F$191))*Editavel!$C$29/COUNTIF(Funcionarios!$D$2:$D$191,"&gt;=5"),0))*IF(Funcionarios!G148&gt;0,Funcionarios!G148/30,1)</f>
        <v>0</v>
      </c>
      <c r="D158" s="5">
        <f>IF(COUNTIF(Funcionarios!$B$2:$B$191,Funcionarios!B148)&gt;0,SUMIFS(Departamentos!$B:$B,Departamentos!$C:$C,Funcionarios!B148)/COUNTIF(Funcionarios!$B$2:$B$191,Funcionarios!B148)*IF(Funcionarios!G148&gt;0,Funcionarios!G148/30,1),0)</f>
        <v>0</v>
      </c>
      <c r="E158" s="5">
        <f>Funcionarios!$F148</f>
        <v>0</v>
      </c>
      <c r="F158" s="5">
        <f>Funcionarios!$E148</f>
        <v>0</v>
      </c>
      <c r="G158" s="5">
        <f t="shared" si="6"/>
        <v>0</v>
      </c>
    </row>
    <row r="159" spans="1:7" x14ac:dyDescent="0.25">
      <c r="A159">
        <f>Funcionarios!A149</f>
        <v>0</v>
      </c>
      <c r="B159">
        <f>Funcionarios!B149</f>
        <v>0</v>
      </c>
      <c r="C159" s="5">
        <f>(IF(AND(Funcionarios!D149&gt;=1,COUNTIF(Funcionarios!$D$2:$D$191,"&gt;=1")&gt;0),(Editavel!$B$17-SUM(Departamentos!$B:$B)-SUM(Funcionarios!$F$2:$F$191))*Editavel!$C$25/COUNTIF(Funcionarios!$D$2:$D$191,"&gt;=1"),0)+IF(AND(Funcionarios!D149&gt;=2,COUNTIF(Funcionarios!$D$2:$D$191,"&gt;=2")&gt;0),(Editavel!$B$17-SUM(Departamentos!$B:$B)-SUM(Funcionarios!$F$2:$F$191))*Editavel!$C$26/COUNTIF(Funcionarios!$D$2:$D$191,"&gt;=2"),0)+IF(AND(Funcionarios!D149&gt;=3,COUNTIF(Funcionarios!$D$2:$D$191,"&gt;=3")&gt;0),(Editavel!$B$17-SUM(Departamentos!$B:$B)-SUM(Funcionarios!$F$2:$F$191))*Editavel!$C$27/COUNTIF(Funcionarios!$D$2:$D$191,"&gt;=3"),0)+IF(AND(Funcionarios!D149&gt;=4,COUNTIF(Funcionarios!$D$2:$D$191,"&gt;=4")&gt;0),(Editavel!$B$17-SUM(Departamentos!$B:$B)-SUM(Funcionarios!$F$2:$F$191))*Editavel!$C$28/COUNTIF(Funcionarios!$D$2:$D$191,"&gt;=4"),0)+IF(AND(Funcionarios!D149&gt;=5,COUNTIF(Funcionarios!$D$2:$D$191,"&gt;=5")&gt;0),(Editavel!$B$17-SUM(Departamentos!$B:$B)-SUM(Funcionarios!$F$2:$F$191))*Editavel!$C$29/COUNTIF(Funcionarios!$D$2:$D$191,"&gt;=5"),0))*IF(Funcionarios!G149&gt;0,Funcionarios!G149/30,1)</f>
        <v>0</v>
      </c>
      <c r="D159" s="5">
        <f>IF(COUNTIF(Funcionarios!$B$2:$B$191,Funcionarios!B149)&gt;0,SUMIFS(Departamentos!$B:$B,Departamentos!$C:$C,Funcionarios!B149)/COUNTIF(Funcionarios!$B$2:$B$191,Funcionarios!B149)*IF(Funcionarios!G149&gt;0,Funcionarios!G149/30,1),0)</f>
        <v>0</v>
      </c>
      <c r="E159" s="5">
        <f>Funcionarios!$F149</f>
        <v>0</v>
      </c>
      <c r="F159" s="5">
        <f>Funcionarios!$E149</f>
        <v>0</v>
      </c>
      <c r="G159" s="5">
        <f t="shared" si="6"/>
        <v>0</v>
      </c>
    </row>
    <row r="160" spans="1:7" x14ac:dyDescent="0.25">
      <c r="A160">
        <f>Funcionarios!A150</f>
        <v>0</v>
      </c>
      <c r="B160">
        <f>Funcionarios!B150</f>
        <v>0</v>
      </c>
      <c r="C160" s="5">
        <f>(IF(AND(Funcionarios!D150&gt;=1,COUNTIF(Funcionarios!$D$2:$D$191,"&gt;=1")&gt;0),(Editavel!$B$17-SUM(Departamentos!$B:$B)-SUM(Funcionarios!$F$2:$F$191))*Editavel!$C$25/COUNTIF(Funcionarios!$D$2:$D$191,"&gt;=1"),0)+IF(AND(Funcionarios!D150&gt;=2,COUNTIF(Funcionarios!$D$2:$D$191,"&gt;=2")&gt;0),(Editavel!$B$17-SUM(Departamentos!$B:$B)-SUM(Funcionarios!$F$2:$F$191))*Editavel!$C$26/COUNTIF(Funcionarios!$D$2:$D$191,"&gt;=2"),0)+IF(AND(Funcionarios!D150&gt;=3,COUNTIF(Funcionarios!$D$2:$D$191,"&gt;=3")&gt;0),(Editavel!$B$17-SUM(Departamentos!$B:$B)-SUM(Funcionarios!$F$2:$F$191))*Editavel!$C$27/COUNTIF(Funcionarios!$D$2:$D$191,"&gt;=3"),0)+IF(AND(Funcionarios!D150&gt;=4,COUNTIF(Funcionarios!$D$2:$D$191,"&gt;=4")&gt;0),(Editavel!$B$17-SUM(Departamentos!$B:$B)-SUM(Funcionarios!$F$2:$F$191))*Editavel!$C$28/COUNTIF(Funcionarios!$D$2:$D$191,"&gt;=4"),0)+IF(AND(Funcionarios!D150&gt;=5,COUNTIF(Funcionarios!$D$2:$D$191,"&gt;=5")&gt;0),(Editavel!$B$17-SUM(Departamentos!$B:$B)-SUM(Funcionarios!$F$2:$F$191))*Editavel!$C$29/COUNTIF(Funcionarios!$D$2:$D$191,"&gt;=5"),0))*IF(Funcionarios!G150&gt;0,Funcionarios!G150/30,1)</f>
        <v>0</v>
      </c>
      <c r="D160" s="5">
        <f>IF(COUNTIF(Funcionarios!$B$2:$B$191,Funcionarios!B150)&gt;0,SUMIFS(Departamentos!$B:$B,Departamentos!$C:$C,Funcionarios!B150)/COUNTIF(Funcionarios!$B$2:$B$191,Funcionarios!B150)*IF(Funcionarios!G150&gt;0,Funcionarios!G150/30,1),0)</f>
        <v>0</v>
      </c>
      <c r="E160" s="5">
        <f>Funcionarios!$F150</f>
        <v>0</v>
      </c>
      <c r="F160" s="5">
        <f>Funcionarios!$E150</f>
        <v>0</v>
      </c>
      <c r="G160" s="5">
        <f t="shared" si="6"/>
        <v>0</v>
      </c>
    </row>
    <row r="161" spans="1:7" x14ac:dyDescent="0.25">
      <c r="A161">
        <f>Funcionarios!A151</f>
        <v>0</v>
      </c>
      <c r="B161">
        <f>Funcionarios!B151</f>
        <v>0</v>
      </c>
      <c r="C161" s="5">
        <f>(IF(AND(Funcionarios!D151&gt;=1,COUNTIF(Funcionarios!$D$2:$D$191,"&gt;=1")&gt;0),(Editavel!$B$17-SUM(Departamentos!$B:$B)-SUM(Funcionarios!$F$2:$F$191))*Editavel!$C$25/COUNTIF(Funcionarios!$D$2:$D$191,"&gt;=1"),0)+IF(AND(Funcionarios!D151&gt;=2,COUNTIF(Funcionarios!$D$2:$D$191,"&gt;=2")&gt;0),(Editavel!$B$17-SUM(Departamentos!$B:$B)-SUM(Funcionarios!$F$2:$F$191))*Editavel!$C$26/COUNTIF(Funcionarios!$D$2:$D$191,"&gt;=2"),0)+IF(AND(Funcionarios!D151&gt;=3,COUNTIF(Funcionarios!$D$2:$D$191,"&gt;=3")&gt;0),(Editavel!$B$17-SUM(Departamentos!$B:$B)-SUM(Funcionarios!$F$2:$F$191))*Editavel!$C$27/COUNTIF(Funcionarios!$D$2:$D$191,"&gt;=3"),0)+IF(AND(Funcionarios!D151&gt;=4,COUNTIF(Funcionarios!$D$2:$D$191,"&gt;=4")&gt;0),(Editavel!$B$17-SUM(Departamentos!$B:$B)-SUM(Funcionarios!$F$2:$F$191))*Editavel!$C$28/COUNTIF(Funcionarios!$D$2:$D$191,"&gt;=4"),0)+IF(AND(Funcionarios!D151&gt;=5,COUNTIF(Funcionarios!$D$2:$D$191,"&gt;=5")&gt;0),(Editavel!$B$17-SUM(Departamentos!$B:$B)-SUM(Funcionarios!$F$2:$F$191))*Editavel!$C$29/COUNTIF(Funcionarios!$D$2:$D$191,"&gt;=5"),0))*IF(Funcionarios!G151&gt;0,Funcionarios!G151/30,1)</f>
        <v>0</v>
      </c>
      <c r="D161" s="5">
        <f>IF(COUNTIF(Funcionarios!$B$2:$B$191,Funcionarios!B151)&gt;0,SUMIFS(Departamentos!$B:$B,Departamentos!$C:$C,Funcionarios!B151)/COUNTIF(Funcionarios!$B$2:$B$191,Funcionarios!B151)*IF(Funcionarios!G151&gt;0,Funcionarios!G151/30,1),0)</f>
        <v>0</v>
      </c>
      <c r="E161" s="5">
        <f>Funcionarios!$F151</f>
        <v>0</v>
      </c>
      <c r="F161" s="5">
        <f>Funcionarios!$E151</f>
        <v>0</v>
      </c>
      <c r="G161" s="5">
        <f t="shared" si="6"/>
        <v>0</v>
      </c>
    </row>
    <row r="162" spans="1:7" x14ac:dyDescent="0.25">
      <c r="A162">
        <f>Funcionarios!A152</f>
        <v>0</v>
      </c>
      <c r="B162">
        <f>Funcionarios!B152</f>
        <v>0</v>
      </c>
      <c r="C162" s="5">
        <f>(IF(AND(Funcionarios!D152&gt;=1,COUNTIF(Funcionarios!$D$2:$D$191,"&gt;=1")&gt;0),(Editavel!$B$17-SUM(Departamentos!$B:$B)-SUM(Funcionarios!$F$2:$F$191))*Editavel!$C$25/COUNTIF(Funcionarios!$D$2:$D$191,"&gt;=1"),0)+IF(AND(Funcionarios!D152&gt;=2,COUNTIF(Funcionarios!$D$2:$D$191,"&gt;=2")&gt;0),(Editavel!$B$17-SUM(Departamentos!$B:$B)-SUM(Funcionarios!$F$2:$F$191))*Editavel!$C$26/COUNTIF(Funcionarios!$D$2:$D$191,"&gt;=2"),0)+IF(AND(Funcionarios!D152&gt;=3,COUNTIF(Funcionarios!$D$2:$D$191,"&gt;=3")&gt;0),(Editavel!$B$17-SUM(Departamentos!$B:$B)-SUM(Funcionarios!$F$2:$F$191))*Editavel!$C$27/COUNTIF(Funcionarios!$D$2:$D$191,"&gt;=3"),0)+IF(AND(Funcionarios!D152&gt;=4,COUNTIF(Funcionarios!$D$2:$D$191,"&gt;=4")&gt;0),(Editavel!$B$17-SUM(Departamentos!$B:$B)-SUM(Funcionarios!$F$2:$F$191))*Editavel!$C$28/COUNTIF(Funcionarios!$D$2:$D$191,"&gt;=4"),0)+IF(AND(Funcionarios!D152&gt;=5,COUNTIF(Funcionarios!$D$2:$D$191,"&gt;=5")&gt;0),(Editavel!$B$17-SUM(Departamentos!$B:$B)-SUM(Funcionarios!$F$2:$F$191))*Editavel!$C$29/COUNTIF(Funcionarios!$D$2:$D$191,"&gt;=5"),0))*IF(Funcionarios!G152&gt;0,Funcionarios!G152/30,1)</f>
        <v>0</v>
      </c>
      <c r="D162" s="5">
        <f>IF(COUNTIF(Funcionarios!$B$2:$B$191,Funcionarios!B152)&gt;0,SUMIFS(Departamentos!$B:$B,Departamentos!$C:$C,Funcionarios!B152)/COUNTIF(Funcionarios!$B$2:$B$191,Funcionarios!B152)*IF(Funcionarios!G152&gt;0,Funcionarios!G152/30,1),0)</f>
        <v>0</v>
      </c>
      <c r="E162" s="5">
        <f>Funcionarios!$F152</f>
        <v>0</v>
      </c>
      <c r="F162" s="5">
        <f>Funcionarios!$E152</f>
        <v>0</v>
      </c>
      <c r="G162" s="5">
        <f t="shared" si="6"/>
        <v>0</v>
      </c>
    </row>
    <row r="163" spans="1:7" x14ac:dyDescent="0.25">
      <c r="A163">
        <f>Funcionarios!A153</f>
        <v>0</v>
      </c>
      <c r="B163">
        <f>Funcionarios!B153</f>
        <v>0</v>
      </c>
      <c r="C163" s="5">
        <f>(IF(AND(Funcionarios!D153&gt;=1,COUNTIF(Funcionarios!$D$2:$D$191,"&gt;=1")&gt;0),(Editavel!$B$17-SUM(Departamentos!$B:$B)-SUM(Funcionarios!$F$2:$F$191))*Editavel!$C$25/COUNTIF(Funcionarios!$D$2:$D$191,"&gt;=1"),0)+IF(AND(Funcionarios!D153&gt;=2,COUNTIF(Funcionarios!$D$2:$D$191,"&gt;=2")&gt;0),(Editavel!$B$17-SUM(Departamentos!$B:$B)-SUM(Funcionarios!$F$2:$F$191))*Editavel!$C$26/COUNTIF(Funcionarios!$D$2:$D$191,"&gt;=2"),0)+IF(AND(Funcionarios!D153&gt;=3,COUNTIF(Funcionarios!$D$2:$D$191,"&gt;=3")&gt;0),(Editavel!$B$17-SUM(Departamentos!$B:$B)-SUM(Funcionarios!$F$2:$F$191))*Editavel!$C$27/COUNTIF(Funcionarios!$D$2:$D$191,"&gt;=3"),0)+IF(AND(Funcionarios!D153&gt;=4,COUNTIF(Funcionarios!$D$2:$D$191,"&gt;=4")&gt;0),(Editavel!$B$17-SUM(Departamentos!$B:$B)-SUM(Funcionarios!$F$2:$F$191))*Editavel!$C$28/COUNTIF(Funcionarios!$D$2:$D$191,"&gt;=4"),0)+IF(AND(Funcionarios!D153&gt;=5,COUNTIF(Funcionarios!$D$2:$D$191,"&gt;=5")&gt;0),(Editavel!$B$17-SUM(Departamentos!$B:$B)-SUM(Funcionarios!$F$2:$F$191))*Editavel!$C$29/COUNTIF(Funcionarios!$D$2:$D$191,"&gt;=5"),0))*IF(Funcionarios!G153&gt;0,Funcionarios!G153/30,1)</f>
        <v>0</v>
      </c>
      <c r="D163" s="5">
        <f>IF(COUNTIF(Funcionarios!$B$2:$B$191,Funcionarios!B153)&gt;0,SUMIFS(Departamentos!$B:$B,Departamentos!$C:$C,Funcionarios!B153)/COUNTIF(Funcionarios!$B$2:$B$191,Funcionarios!B153)*IF(Funcionarios!G153&gt;0,Funcionarios!G153/30,1),0)</f>
        <v>0</v>
      </c>
      <c r="E163" s="5">
        <f>Funcionarios!$F153</f>
        <v>0</v>
      </c>
      <c r="F163" s="5">
        <f>Funcionarios!$E153</f>
        <v>0</v>
      </c>
      <c r="G163" s="5">
        <f t="shared" si="6"/>
        <v>0</v>
      </c>
    </row>
    <row r="164" spans="1:7" x14ac:dyDescent="0.25">
      <c r="A164">
        <f>Funcionarios!A154</f>
        <v>0</v>
      </c>
      <c r="B164">
        <f>Funcionarios!B154</f>
        <v>0</v>
      </c>
      <c r="C164" s="5">
        <f>(IF(AND(Funcionarios!D154&gt;=1,COUNTIF(Funcionarios!$D$2:$D$191,"&gt;=1")&gt;0),(Editavel!$B$17-SUM(Departamentos!$B:$B)-SUM(Funcionarios!$F$2:$F$191))*Editavel!$C$25/COUNTIF(Funcionarios!$D$2:$D$191,"&gt;=1"),0)+IF(AND(Funcionarios!D154&gt;=2,COUNTIF(Funcionarios!$D$2:$D$191,"&gt;=2")&gt;0),(Editavel!$B$17-SUM(Departamentos!$B:$B)-SUM(Funcionarios!$F$2:$F$191))*Editavel!$C$26/COUNTIF(Funcionarios!$D$2:$D$191,"&gt;=2"),0)+IF(AND(Funcionarios!D154&gt;=3,COUNTIF(Funcionarios!$D$2:$D$191,"&gt;=3")&gt;0),(Editavel!$B$17-SUM(Departamentos!$B:$B)-SUM(Funcionarios!$F$2:$F$191))*Editavel!$C$27/COUNTIF(Funcionarios!$D$2:$D$191,"&gt;=3"),0)+IF(AND(Funcionarios!D154&gt;=4,COUNTIF(Funcionarios!$D$2:$D$191,"&gt;=4")&gt;0),(Editavel!$B$17-SUM(Departamentos!$B:$B)-SUM(Funcionarios!$F$2:$F$191))*Editavel!$C$28/COUNTIF(Funcionarios!$D$2:$D$191,"&gt;=4"),0)+IF(AND(Funcionarios!D154&gt;=5,COUNTIF(Funcionarios!$D$2:$D$191,"&gt;=5")&gt;0),(Editavel!$B$17-SUM(Departamentos!$B:$B)-SUM(Funcionarios!$F$2:$F$191))*Editavel!$C$29/COUNTIF(Funcionarios!$D$2:$D$191,"&gt;=5"),0))*IF(Funcionarios!G154&gt;0,Funcionarios!G154/30,1)</f>
        <v>0</v>
      </c>
      <c r="D164" s="5">
        <f>IF(COUNTIF(Funcionarios!$B$2:$B$191,Funcionarios!B154)&gt;0,SUMIFS(Departamentos!$B:$B,Departamentos!$C:$C,Funcionarios!B154)/COUNTIF(Funcionarios!$B$2:$B$191,Funcionarios!B154)*IF(Funcionarios!G154&gt;0,Funcionarios!G154/30,1),0)</f>
        <v>0</v>
      </c>
      <c r="E164" s="5">
        <f>Funcionarios!$F154</f>
        <v>0</v>
      </c>
      <c r="F164" s="5">
        <f>Funcionarios!$E154</f>
        <v>0</v>
      </c>
      <c r="G164" s="5">
        <f t="shared" si="6"/>
        <v>0</v>
      </c>
    </row>
    <row r="165" spans="1:7" x14ac:dyDescent="0.25">
      <c r="A165">
        <f>Funcionarios!A155</f>
        <v>0</v>
      </c>
      <c r="B165">
        <f>Funcionarios!B155</f>
        <v>0</v>
      </c>
      <c r="C165" s="5">
        <f>(IF(AND(Funcionarios!D155&gt;=1,COUNTIF(Funcionarios!$D$2:$D$191,"&gt;=1")&gt;0),(Editavel!$B$17-SUM(Departamentos!$B:$B)-SUM(Funcionarios!$F$2:$F$191))*Editavel!$C$25/COUNTIF(Funcionarios!$D$2:$D$191,"&gt;=1"),0)+IF(AND(Funcionarios!D155&gt;=2,COUNTIF(Funcionarios!$D$2:$D$191,"&gt;=2")&gt;0),(Editavel!$B$17-SUM(Departamentos!$B:$B)-SUM(Funcionarios!$F$2:$F$191))*Editavel!$C$26/COUNTIF(Funcionarios!$D$2:$D$191,"&gt;=2"),0)+IF(AND(Funcionarios!D155&gt;=3,COUNTIF(Funcionarios!$D$2:$D$191,"&gt;=3")&gt;0),(Editavel!$B$17-SUM(Departamentos!$B:$B)-SUM(Funcionarios!$F$2:$F$191))*Editavel!$C$27/COUNTIF(Funcionarios!$D$2:$D$191,"&gt;=3"),0)+IF(AND(Funcionarios!D155&gt;=4,COUNTIF(Funcionarios!$D$2:$D$191,"&gt;=4")&gt;0),(Editavel!$B$17-SUM(Departamentos!$B:$B)-SUM(Funcionarios!$F$2:$F$191))*Editavel!$C$28/COUNTIF(Funcionarios!$D$2:$D$191,"&gt;=4"),0)+IF(AND(Funcionarios!D155&gt;=5,COUNTIF(Funcionarios!$D$2:$D$191,"&gt;=5")&gt;0),(Editavel!$B$17-SUM(Departamentos!$B:$B)-SUM(Funcionarios!$F$2:$F$191))*Editavel!$C$29/COUNTIF(Funcionarios!$D$2:$D$191,"&gt;=5"),0))*IF(Funcionarios!G155&gt;0,Funcionarios!G155/30,1)</f>
        <v>0</v>
      </c>
      <c r="D165" s="5">
        <f>IF(COUNTIF(Funcionarios!$B$2:$B$191,Funcionarios!B155)&gt;0,SUMIFS(Departamentos!$B:$B,Departamentos!$C:$C,Funcionarios!B155)/COUNTIF(Funcionarios!$B$2:$B$191,Funcionarios!B155)*IF(Funcionarios!G155&gt;0,Funcionarios!G155/30,1),0)</f>
        <v>0</v>
      </c>
      <c r="E165" s="5">
        <f>Funcionarios!$F155</f>
        <v>0</v>
      </c>
      <c r="F165" s="5">
        <f>Funcionarios!$E155</f>
        <v>0</v>
      </c>
      <c r="G165" s="5">
        <f t="shared" si="6"/>
        <v>0</v>
      </c>
    </row>
    <row r="166" spans="1:7" x14ac:dyDescent="0.25">
      <c r="A166">
        <f>Funcionarios!A156</f>
        <v>0</v>
      </c>
      <c r="B166">
        <f>Funcionarios!B156</f>
        <v>0</v>
      </c>
      <c r="C166" s="5">
        <f>(IF(AND(Funcionarios!D156&gt;=1,COUNTIF(Funcionarios!$D$2:$D$191,"&gt;=1")&gt;0),(Editavel!$B$17-SUM(Departamentos!$B:$B)-SUM(Funcionarios!$F$2:$F$191))*Editavel!$C$25/COUNTIF(Funcionarios!$D$2:$D$191,"&gt;=1"),0)+IF(AND(Funcionarios!D156&gt;=2,COUNTIF(Funcionarios!$D$2:$D$191,"&gt;=2")&gt;0),(Editavel!$B$17-SUM(Departamentos!$B:$B)-SUM(Funcionarios!$F$2:$F$191))*Editavel!$C$26/COUNTIF(Funcionarios!$D$2:$D$191,"&gt;=2"),0)+IF(AND(Funcionarios!D156&gt;=3,COUNTIF(Funcionarios!$D$2:$D$191,"&gt;=3")&gt;0),(Editavel!$B$17-SUM(Departamentos!$B:$B)-SUM(Funcionarios!$F$2:$F$191))*Editavel!$C$27/COUNTIF(Funcionarios!$D$2:$D$191,"&gt;=3"),0)+IF(AND(Funcionarios!D156&gt;=4,COUNTIF(Funcionarios!$D$2:$D$191,"&gt;=4")&gt;0),(Editavel!$B$17-SUM(Departamentos!$B:$B)-SUM(Funcionarios!$F$2:$F$191))*Editavel!$C$28/COUNTIF(Funcionarios!$D$2:$D$191,"&gt;=4"),0)+IF(AND(Funcionarios!D156&gt;=5,COUNTIF(Funcionarios!$D$2:$D$191,"&gt;=5")&gt;0),(Editavel!$B$17-SUM(Departamentos!$B:$B)-SUM(Funcionarios!$F$2:$F$191))*Editavel!$C$29/COUNTIF(Funcionarios!$D$2:$D$191,"&gt;=5"),0))*IF(Funcionarios!G156&gt;0,Funcionarios!G156/30,1)</f>
        <v>0</v>
      </c>
      <c r="D166" s="5">
        <f>IF(COUNTIF(Funcionarios!$B$2:$B$191,Funcionarios!B156)&gt;0,SUMIFS(Departamentos!$B:$B,Departamentos!$C:$C,Funcionarios!B156)/COUNTIF(Funcionarios!$B$2:$B$191,Funcionarios!B156)*IF(Funcionarios!G156&gt;0,Funcionarios!G156/30,1),0)</f>
        <v>0</v>
      </c>
      <c r="E166" s="5">
        <f>Funcionarios!$F156</f>
        <v>0</v>
      </c>
      <c r="F166" s="5">
        <f>Funcionarios!$E156</f>
        <v>0</v>
      </c>
      <c r="G166" s="5">
        <f t="shared" si="6"/>
        <v>0</v>
      </c>
    </row>
    <row r="167" spans="1:7" x14ac:dyDescent="0.25">
      <c r="A167">
        <f>Funcionarios!A157</f>
        <v>0</v>
      </c>
      <c r="B167">
        <f>Funcionarios!B157</f>
        <v>0</v>
      </c>
      <c r="C167" s="5">
        <f>(IF(AND(Funcionarios!D157&gt;=1,COUNTIF(Funcionarios!$D$2:$D$191,"&gt;=1")&gt;0),(Editavel!$B$17-SUM(Departamentos!$B:$B)-SUM(Funcionarios!$F$2:$F$191))*Editavel!$C$25/COUNTIF(Funcionarios!$D$2:$D$191,"&gt;=1"),0)+IF(AND(Funcionarios!D157&gt;=2,COUNTIF(Funcionarios!$D$2:$D$191,"&gt;=2")&gt;0),(Editavel!$B$17-SUM(Departamentos!$B:$B)-SUM(Funcionarios!$F$2:$F$191))*Editavel!$C$26/COUNTIF(Funcionarios!$D$2:$D$191,"&gt;=2"),0)+IF(AND(Funcionarios!D157&gt;=3,COUNTIF(Funcionarios!$D$2:$D$191,"&gt;=3")&gt;0),(Editavel!$B$17-SUM(Departamentos!$B:$B)-SUM(Funcionarios!$F$2:$F$191))*Editavel!$C$27/COUNTIF(Funcionarios!$D$2:$D$191,"&gt;=3"),0)+IF(AND(Funcionarios!D157&gt;=4,COUNTIF(Funcionarios!$D$2:$D$191,"&gt;=4")&gt;0),(Editavel!$B$17-SUM(Departamentos!$B:$B)-SUM(Funcionarios!$F$2:$F$191))*Editavel!$C$28/COUNTIF(Funcionarios!$D$2:$D$191,"&gt;=4"),0)+IF(AND(Funcionarios!D157&gt;=5,COUNTIF(Funcionarios!$D$2:$D$191,"&gt;=5")&gt;0),(Editavel!$B$17-SUM(Departamentos!$B:$B)-SUM(Funcionarios!$F$2:$F$191))*Editavel!$C$29/COUNTIF(Funcionarios!$D$2:$D$191,"&gt;=5"),0))*IF(Funcionarios!G157&gt;0,Funcionarios!G157/30,1)</f>
        <v>0</v>
      </c>
      <c r="D167" s="5">
        <f>IF(COUNTIF(Funcionarios!$B$2:$B$191,Funcionarios!B157)&gt;0,SUMIFS(Departamentos!$B:$B,Departamentos!$C:$C,Funcionarios!B157)/COUNTIF(Funcionarios!$B$2:$B$191,Funcionarios!B157)*IF(Funcionarios!G157&gt;0,Funcionarios!G157/30,1),0)</f>
        <v>0</v>
      </c>
      <c r="E167" s="5">
        <f>Funcionarios!$F157</f>
        <v>0</v>
      </c>
      <c r="F167" s="5">
        <f>Funcionarios!$E157</f>
        <v>0</v>
      </c>
      <c r="G167" s="5">
        <f t="shared" si="6"/>
        <v>0</v>
      </c>
    </row>
    <row r="168" spans="1:7" x14ac:dyDescent="0.25">
      <c r="A168">
        <f>Funcionarios!A158</f>
        <v>0</v>
      </c>
      <c r="B168">
        <f>Funcionarios!B158</f>
        <v>0</v>
      </c>
      <c r="C168" s="5">
        <f>(IF(AND(Funcionarios!D158&gt;=1,COUNTIF(Funcionarios!$D$2:$D$191,"&gt;=1")&gt;0),(Editavel!$B$17-SUM(Departamentos!$B:$B)-SUM(Funcionarios!$F$2:$F$191))*Editavel!$C$25/COUNTIF(Funcionarios!$D$2:$D$191,"&gt;=1"),0)+IF(AND(Funcionarios!D158&gt;=2,COUNTIF(Funcionarios!$D$2:$D$191,"&gt;=2")&gt;0),(Editavel!$B$17-SUM(Departamentos!$B:$B)-SUM(Funcionarios!$F$2:$F$191))*Editavel!$C$26/COUNTIF(Funcionarios!$D$2:$D$191,"&gt;=2"),0)+IF(AND(Funcionarios!D158&gt;=3,COUNTIF(Funcionarios!$D$2:$D$191,"&gt;=3")&gt;0),(Editavel!$B$17-SUM(Departamentos!$B:$B)-SUM(Funcionarios!$F$2:$F$191))*Editavel!$C$27/COUNTIF(Funcionarios!$D$2:$D$191,"&gt;=3"),0)+IF(AND(Funcionarios!D158&gt;=4,COUNTIF(Funcionarios!$D$2:$D$191,"&gt;=4")&gt;0),(Editavel!$B$17-SUM(Departamentos!$B:$B)-SUM(Funcionarios!$F$2:$F$191))*Editavel!$C$28/COUNTIF(Funcionarios!$D$2:$D$191,"&gt;=4"),0)+IF(AND(Funcionarios!D158&gt;=5,COUNTIF(Funcionarios!$D$2:$D$191,"&gt;=5")&gt;0),(Editavel!$B$17-SUM(Departamentos!$B:$B)-SUM(Funcionarios!$F$2:$F$191))*Editavel!$C$29/COUNTIF(Funcionarios!$D$2:$D$191,"&gt;=5"),0))*IF(Funcionarios!G158&gt;0,Funcionarios!G158/30,1)</f>
        <v>0</v>
      </c>
      <c r="D168" s="5">
        <f>IF(COUNTIF(Funcionarios!$B$2:$B$191,Funcionarios!B158)&gt;0,SUMIFS(Departamentos!$B:$B,Departamentos!$C:$C,Funcionarios!B158)/COUNTIF(Funcionarios!$B$2:$B$191,Funcionarios!B158)*IF(Funcionarios!G158&gt;0,Funcionarios!G158/30,1),0)</f>
        <v>0</v>
      </c>
      <c r="E168" s="5">
        <f>Funcionarios!$F158</f>
        <v>0</v>
      </c>
      <c r="F168" s="5">
        <f>Funcionarios!$E158</f>
        <v>0</v>
      </c>
      <c r="G168" s="5">
        <f t="shared" si="6"/>
        <v>0</v>
      </c>
    </row>
    <row r="169" spans="1:7" x14ac:dyDescent="0.25">
      <c r="A169">
        <f>Funcionarios!A159</f>
        <v>0</v>
      </c>
      <c r="B169">
        <f>Funcionarios!B159</f>
        <v>0</v>
      </c>
      <c r="C169" s="5">
        <f>(IF(AND(Funcionarios!D159&gt;=1,COUNTIF(Funcionarios!$D$2:$D$191,"&gt;=1")&gt;0),(Editavel!$B$17-SUM(Departamentos!$B:$B)-SUM(Funcionarios!$F$2:$F$191))*Editavel!$C$25/COUNTIF(Funcionarios!$D$2:$D$191,"&gt;=1"),0)+IF(AND(Funcionarios!D159&gt;=2,COUNTIF(Funcionarios!$D$2:$D$191,"&gt;=2")&gt;0),(Editavel!$B$17-SUM(Departamentos!$B:$B)-SUM(Funcionarios!$F$2:$F$191))*Editavel!$C$26/COUNTIF(Funcionarios!$D$2:$D$191,"&gt;=2"),0)+IF(AND(Funcionarios!D159&gt;=3,COUNTIF(Funcionarios!$D$2:$D$191,"&gt;=3")&gt;0),(Editavel!$B$17-SUM(Departamentos!$B:$B)-SUM(Funcionarios!$F$2:$F$191))*Editavel!$C$27/COUNTIF(Funcionarios!$D$2:$D$191,"&gt;=3"),0)+IF(AND(Funcionarios!D159&gt;=4,COUNTIF(Funcionarios!$D$2:$D$191,"&gt;=4")&gt;0),(Editavel!$B$17-SUM(Departamentos!$B:$B)-SUM(Funcionarios!$F$2:$F$191))*Editavel!$C$28/COUNTIF(Funcionarios!$D$2:$D$191,"&gt;=4"),0)+IF(AND(Funcionarios!D159&gt;=5,COUNTIF(Funcionarios!$D$2:$D$191,"&gt;=5")&gt;0),(Editavel!$B$17-SUM(Departamentos!$B:$B)-SUM(Funcionarios!$F$2:$F$191))*Editavel!$C$29/COUNTIF(Funcionarios!$D$2:$D$191,"&gt;=5"),0))*IF(Funcionarios!G159&gt;0,Funcionarios!G159/30,1)</f>
        <v>0</v>
      </c>
      <c r="D169" s="5">
        <f>IF(COUNTIF(Funcionarios!$B$2:$B$191,Funcionarios!B159)&gt;0,SUMIFS(Departamentos!$B:$B,Departamentos!$C:$C,Funcionarios!B159)/COUNTIF(Funcionarios!$B$2:$B$191,Funcionarios!B159)*IF(Funcionarios!G159&gt;0,Funcionarios!G159/30,1),0)</f>
        <v>0</v>
      </c>
      <c r="E169" s="5">
        <f>Funcionarios!$F159</f>
        <v>0</v>
      </c>
      <c r="F169" s="5">
        <f>Funcionarios!$E159</f>
        <v>0</v>
      </c>
      <c r="G169" s="5">
        <f t="shared" si="6"/>
        <v>0</v>
      </c>
    </row>
    <row r="170" spans="1:7" x14ac:dyDescent="0.25">
      <c r="A170">
        <f>Funcionarios!A160</f>
        <v>0</v>
      </c>
      <c r="B170">
        <f>Funcionarios!B160</f>
        <v>0</v>
      </c>
      <c r="C170" s="5">
        <f>(IF(AND(Funcionarios!D160&gt;=1,COUNTIF(Funcionarios!$D$2:$D$191,"&gt;=1")&gt;0),(Editavel!$B$17-SUM(Departamentos!$B:$B)-SUM(Funcionarios!$F$2:$F$191))*Editavel!$C$25/COUNTIF(Funcionarios!$D$2:$D$191,"&gt;=1"),0)+IF(AND(Funcionarios!D160&gt;=2,COUNTIF(Funcionarios!$D$2:$D$191,"&gt;=2")&gt;0),(Editavel!$B$17-SUM(Departamentos!$B:$B)-SUM(Funcionarios!$F$2:$F$191))*Editavel!$C$26/COUNTIF(Funcionarios!$D$2:$D$191,"&gt;=2"),0)+IF(AND(Funcionarios!D160&gt;=3,COUNTIF(Funcionarios!$D$2:$D$191,"&gt;=3")&gt;0),(Editavel!$B$17-SUM(Departamentos!$B:$B)-SUM(Funcionarios!$F$2:$F$191))*Editavel!$C$27/COUNTIF(Funcionarios!$D$2:$D$191,"&gt;=3"),0)+IF(AND(Funcionarios!D160&gt;=4,COUNTIF(Funcionarios!$D$2:$D$191,"&gt;=4")&gt;0),(Editavel!$B$17-SUM(Departamentos!$B:$B)-SUM(Funcionarios!$F$2:$F$191))*Editavel!$C$28/COUNTIF(Funcionarios!$D$2:$D$191,"&gt;=4"),0)+IF(AND(Funcionarios!D160&gt;=5,COUNTIF(Funcionarios!$D$2:$D$191,"&gt;=5")&gt;0),(Editavel!$B$17-SUM(Departamentos!$B:$B)-SUM(Funcionarios!$F$2:$F$191))*Editavel!$C$29/COUNTIF(Funcionarios!$D$2:$D$191,"&gt;=5"),0))*IF(Funcionarios!G160&gt;0,Funcionarios!G160/30,1)</f>
        <v>0</v>
      </c>
      <c r="D170" s="5">
        <f>IF(COUNTIF(Funcionarios!$B$2:$B$191,Funcionarios!B160)&gt;0,SUMIFS(Departamentos!$B:$B,Departamentos!$C:$C,Funcionarios!B160)/COUNTIF(Funcionarios!$B$2:$B$191,Funcionarios!B160)*IF(Funcionarios!G160&gt;0,Funcionarios!G160/30,1),0)</f>
        <v>0</v>
      </c>
      <c r="E170" s="5">
        <f>Funcionarios!$F160</f>
        <v>0</v>
      </c>
      <c r="F170" s="5">
        <f>Funcionarios!$E160</f>
        <v>0</v>
      </c>
      <c r="G170" s="5">
        <f t="shared" si="6"/>
        <v>0</v>
      </c>
    </row>
    <row r="171" spans="1:7" x14ac:dyDescent="0.25">
      <c r="A171">
        <f>Funcionarios!A161</f>
        <v>0</v>
      </c>
      <c r="B171">
        <f>Funcionarios!B161</f>
        <v>0</v>
      </c>
      <c r="C171" s="5">
        <f>(IF(AND(Funcionarios!D161&gt;=1,COUNTIF(Funcionarios!$D$2:$D$191,"&gt;=1")&gt;0),(Editavel!$B$17-SUM(Departamentos!$B:$B)-SUM(Funcionarios!$F$2:$F$191))*Editavel!$C$25/COUNTIF(Funcionarios!$D$2:$D$191,"&gt;=1"),0)+IF(AND(Funcionarios!D161&gt;=2,COUNTIF(Funcionarios!$D$2:$D$191,"&gt;=2")&gt;0),(Editavel!$B$17-SUM(Departamentos!$B:$B)-SUM(Funcionarios!$F$2:$F$191))*Editavel!$C$26/COUNTIF(Funcionarios!$D$2:$D$191,"&gt;=2"),0)+IF(AND(Funcionarios!D161&gt;=3,COUNTIF(Funcionarios!$D$2:$D$191,"&gt;=3")&gt;0),(Editavel!$B$17-SUM(Departamentos!$B:$B)-SUM(Funcionarios!$F$2:$F$191))*Editavel!$C$27/COUNTIF(Funcionarios!$D$2:$D$191,"&gt;=3"),0)+IF(AND(Funcionarios!D161&gt;=4,COUNTIF(Funcionarios!$D$2:$D$191,"&gt;=4")&gt;0),(Editavel!$B$17-SUM(Departamentos!$B:$B)-SUM(Funcionarios!$F$2:$F$191))*Editavel!$C$28/COUNTIF(Funcionarios!$D$2:$D$191,"&gt;=4"),0)+IF(AND(Funcionarios!D161&gt;=5,COUNTIF(Funcionarios!$D$2:$D$191,"&gt;=5")&gt;0),(Editavel!$B$17-SUM(Departamentos!$B:$B)-SUM(Funcionarios!$F$2:$F$191))*Editavel!$C$29/COUNTIF(Funcionarios!$D$2:$D$191,"&gt;=5"),0))*IF(Funcionarios!G161&gt;0,Funcionarios!G161/30,1)</f>
        <v>0</v>
      </c>
      <c r="D171" s="5">
        <f>IF(COUNTIF(Funcionarios!$B$2:$B$191,Funcionarios!B161)&gt;0,SUMIFS(Departamentos!$B:$B,Departamentos!$C:$C,Funcionarios!B161)/COUNTIF(Funcionarios!$B$2:$B$191,Funcionarios!B161)*IF(Funcionarios!G161&gt;0,Funcionarios!G161/30,1),0)</f>
        <v>0</v>
      </c>
      <c r="E171" s="5">
        <f>Funcionarios!$F161</f>
        <v>0</v>
      </c>
      <c r="F171" s="5">
        <f>Funcionarios!$E161</f>
        <v>0</v>
      </c>
      <c r="G171" s="5">
        <f t="shared" si="6"/>
        <v>0</v>
      </c>
    </row>
    <row r="172" spans="1:7" x14ac:dyDescent="0.25">
      <c r="A172">
        <f>Funcionarios!A162</f>
        <v>0</v>
      </c>
      <c r="B172">
        <f>Funcionarios!B162</f>
        <v>0</v>
      </c>
      <c r="C172" s="5">
        <f>(IF(AND(Funcionarios!D162&gt;=1,COUNTIF(Funcionarios!$D$2:$D$191,"&gt;=1")&gt;0),(Editavel!$B$17-SUM(Departamentos!$B:$B)-SUM(Funcionarios!$F$2:$F$191))*Editavel!$C$25/COUNTIF(Funcionarios!$D$2:$D$191,"&gt;=1"),0)+IF(AND(Funcionarios!D162&gt;=2,COUNTIF(Funcionarios!$D$2:$D$191,"&gt;=2")&gt;0),(Editavel!$B$17-SUM(Departamentos!$B:$B)-SUM(Funcionarios!$F$2:$F$191))*Editavel!$C$26/COUNTIF(Funcionarios!$D$2:$D$191,"&gt;=2"),0)+IF(AND(Funcionarios!D162&gt;=3,COUNTIF(Funcionarios!$D$2:$D$191,"&gt;=3")&gt;0),(Editavel!$B$17-SUM(Departamentos!$B:$B)-SUM(Funcionarios!$F$2:$F$191))*Editavel!$C$27/COUNTIF(Funcionarios!$D$2:$D$191,"&gt;=3"),0)+IF(AND(Funcionarios!D162&gt;=4,COUNTIF(Funcionarios!$D$2:$D$191,"&gt;=4")&gt;0),(Editavel!$B$17-SUM(Departamentos!$B:$B)-SUM(Funcionarios!$F$2:$F$191))*Editavel!$C$28/COUNTIF(Funcionarios!$D$2:$D$191,"&gt;=4"),0)+IF(AND(Funcionarios!D162&gt;=5,COUNTIF(Funcionarios!$D$2:$D$191,"&gt;=5")&gt;0),(Editavel!$B$17-SUM(Departamentos!$B:$B)-SUM(Funcionarios!$F$2:$F$191))*Editavel!$C$29/COUNTIF(Funcionarios!$D$2:$D$191,"&gt;=5"),0))*IF(Funcionarios!G162&gt;0,Funcionarios!G162/30,1)</f>
        <v>0</v>
      </c>
      <c r="D172" s="5">
        <f>IF(COUNTIF(Funcionarios!$B$2:$B$191,Funcionarios!B162)&gt;0,SUMIFS(Departamentos!$B:$B,Departamentos!$C:$C,Funcionarios!B162)/COUNTIF(Funcionarios!$B$2:$B$191,Funcionarios!B162)*IF(Funcionarios!G162&gt;0,Funcionarios!G162/30,1),0)</f>
        <v>0</v>
      </c>
      <c r="E172" s="5">
        <f>Funcionarios!$F162</f>
        <v>0</v>
      </c>
      <c r="F172" s="5">
        <f>Funcionarios!$E162</f>
        <v>0</v>
      </c>
      <c r="G172" s="5">
        <f t="shared" si="6"/>
        <v>0</v>
      </c>
    </row>
    <row r="173" spans="1:7" x14ac:dyDescent="0.25">
      <c r="A173">
        <f>Funcionarios!A163</f>
        <v>0</v>
      </c>
      <c r="B173">
        <f>Funcionarios!B163</f>
        <v>0</v>
      </c>
      <c r="C173" s="5">
        <f>(IF(AND(Funcionarios!D163&gt;=1,COUNTIF(Funcionarios!$D$2:$D$191,"&gt;=1")&gt;0),(Editavel!$B$17-SUM(Departamentos!$B:$B)-SUM(Funcionarios!$F$2:$F$191))*Editavel!$C$25/COUNTIF(Funcionarios!$D$2:$D$191,"&gt;=1"),0)+IF(AND(Funcionarios!D163&gt;=2,COUNTIF(Funcionarios!$D$2:$D$191,"&gt;=2")&gt;0),(Editavel!$B$17-SUM(Departamentos!$B:$B)-SUM(Funcionarios!$F$2:$F$191))*Editavel!$C$26/COUNTIF(Funcionarios!$D$2:$D$191,"&gt;=2"),0)+IF(AND(Funcionarios!D163&gt;=3,COUNTIF(Funcionarios!$D$2:$D$191,"&gt;=3")&gt;0),(Editavel!$B$17-SUM(Departamentos!$B:$B)-SUM(Funcionarios!$F$2:$F$191))*Editavel!$C$27/COUNTIF(Funcionarios!$D$2:$D$191,"&gt;=3"),0)+IF(AND(Funcionarios!D163&gt;=4,COUNTIF(Funcionarios!$D$2:$D$191,"&gt;=4")&gt;0),(Editavel!$B$17-SUM(Departamentos!$B:$B)-SUM(Funcionarios!$F$2:$F$191))*Editavel!$C$28/COUNTIF(Funcionarios!$D$2:$D$191,"&gt;=4"),0)+IF(AND(Funcionarios!D163&gt;=5,COUNTIF(Funcionarios!$D$2:$D$191,"&gt;=5")&gt;0),(Editavel!$B$17-SUM(Departamentos!$B:$B)-SUM(Funcionarios!$F$2:$F$191))*Editavel!$C$29/COUNTIF(Funcionarios!$D$2:$D$191,"&gt;=5"),0))*IF(Funcionarios!G163&gt;0,Funcionarios!G163/30,1)</f>
        <v>0</v>
      </c>
      <c r="D173" s="5">
        <f>IF(COUNTIF(Funcionarios!$B$2:$B$191,Funcionarios!B163)&gt;0,SUMIFS(Departamentos!$B:$B,Departamentos!$C:$C,Funcionarios!B163)/COUNTIF(Funcionarios!$B$2:$B$191,Funcionarios!B163)*IF(Funcionarios!G163&gt;0,Funcionarios!G163/30,1),0)</f>
        <v>0</v>
      </c>
      <c r="E173" s="5">
        <f>Funcionarios!$F163</f>
        <v>0</v>
      </c>
      <c r="F173" s="5">
        <f>Funcionarios!$E163</f>
        <v>0</v>
      </c>
      <c r="G173" s="5">
        <f t="shared" si="6"/>
        <v>0</v>
      </c>
    </row>
    <row r="174" spans="1:7" x14ac:dyDescent="0.25">
      <c r="A174">
        <f>Funcionarios!A164</f>
        <v>0</v>
      </c>
      <c r="B174">
        <f>Funcionarios!B164</f>
        <v>0</v>
      </c>
      <c r="C174" s="5">
        <f>(IF(AND(Funcionarios!D164&gt;=1,COUNTIF(Funcionarios!$D$2:$D$191,"&gt;=1")&gt;0),(Editavel!$B$17-SUM(Departamentos!$B:$B)-SUM(Funcionarios!$F$2:$F$191))*Editavel!$C$25/COUNTIF(Funcionarios!$D$2:$D$191,"&gt;=1"),0)+IF(AND(Funcionarios!D164&gt;=2,COUNTIF(Funcionarios!$D$2:$D$191,"&gt;=2")&gt;0),(Editavel!$B$17-SUM(Departamentos!$B:$B)-SUM(Funcionarios!$F$2:$F$191))*Editavel!$C$26/COUNTIF(Funcionarios!$D$2:$D$191,"&gt;=2"),0)+IF(AND(Funcionarios!D164&gt;=3,COUNTIF(Funcionarios!$D$2:$D$191,"&gt;=3")&gt;0),(Editavel!$B$17-SUM(Departamentos!$B:$B)-SUM(Funcionarios!$F$2:$F$191))*Editavel!$C$27/COUNTIF(Funcionarios!$D$2:$D$191,"&gt;=3"),0)+IF(AND(Funcionarios!D164&gt;=4,COUNTIF(Funcionarios!$D$2:$D$191,"&gt;=4")&gt;0),(Editavel!$B$17-SUM(Departamentos!$B:$B)-SUM(Funcionarios!$F$2:$F$191))*Editavel!$C$28/COUNTIF(Funcionarios!$D$2:$D$191,"&gt;=4"),0)+IF(AND(Funcionarios!D164&gt;=5,COUNTIF(Funcionarios!$D$2:$D$191,"&gt;=5")&gt;0),(Editavel!$B$17-SUM(Departamentos!$B:$B)-SUM(Funcionarios!$F$2:$F$191))*Editavel!$C$29/COUNTIF(Funcionarios!$D$2:$D$191,"&gt;=5"),0))*IF(Funcionarios!G164&gt;0,Funcionarios!G164/30,1)</f>
        <v>0</v>
      </c>
      <c r="D174" s="5">
        <f>IF(COUNTIF(Funcionarios!$B$2:$B$191,Funcionarios!B164)&gt;0,SUMIFS(Departamentos!$B:$B,Departamentos!$C:$C,Funcionarios!B164)/COUNTIF(Funcionarios!$B$2:$B$191,Funcionarios!B164)*IF(Funcionarios!G164&gt;0,Funcionarios!G164/30,1),0)</f>
        <v>0</v>
      </c>
      <c r="E174" s="5">
        <f>Funcionarios!$F164</f>
        <v>0</v>
      </c>
      <c r="F174" s="5">
        <f>Funcionarios!$E164</f>
        <v>0</v>
      </c>
      <c r="G174" s="5">
        <f t="shared" si="6"/>
        <v>0</v>
      </c>
    </row>
    <row r="175" spans="1:7" x14ac:dyDescent="0.25">
      <c r="A175">
        <f>Funcionarios!A165</f>
        <v>0</v>
      </c>
      <c r="B175">
        <f>Funcionarios!B165</f>
        <v>0</v>
      </c>
      <c r="C175" s="5">
        <f>(IF(AND(Funcionarios!D165&gt;=1,COUNTIF(Funcionarios!$D$2:$D$191,"&gt;=1")&gt;0),(Editavel!$B$17-SUM(Departamentos!$B:$B)-SUM(Funcionarios!$F$2:$F$191))*Editavel!$C$25/COUNTIF(Funcionarios!$D$2:$D$191,"&gt;=1"),0)+IF(AND(Funcionarios!D165&gt;=2,COUNTIF(Funcionarios!$D$2:$D$191,"&gt;=2")&gt;0),(Editavel!$B$17-SUM(Departamentos!$B:$B)-SUM(Funcionarios!$F$2:$F$191))*Editavel!$C$26/COUNTIF(Funcionarios!$D$2:$D$191,"&gt;=2"),0)+IF(AND(Funcionarios!D165&gt;=3,COUNTIF(Funcionarios!$D$2:$D$191,"&gt;=3")&gt;0),(Editavel!$B$17-SUM(Departamentos!$B:$B)-SUM(Funcionarios!$F$2:$F$191))*Editavel!$C$27/COUNTIF(Funcionarios!$D$2:$D$191,"&gt;=3"),0)+IF(AND(Funcionarios!D165&gt;=4,COUNTIF(Funcionarios!$D$2:$D$191,"&gt;=4")&gt;0),(Editavel!$B$17-SUM(Departamentos!$B:$B)-SUM(Funcionarios!$F$2:$F$191))*Editavel!$C$28/COUNTIF(Funcionarios!$D$2:$D$191,"&gt;=4"),0)+IF(AND(Funcionarios!D165&gt;=5,COUNTIF(Funcionarios!$D$2:$D$191,"&gt;=5")&gt;0),(Editavel!$B$17-SUM(Departamentos!$B:$B)-SUM(Funcionarios!$F$2:$F$191))*Editavel!$C$29/COUNTIF(Funcionarios!$D$2:$D$191,"&gt;=5"),0))*IF(Funcionarios!G165&gt;0,Funcionarios!G165/30,1)</f>
        <v>0</v>
      </c>
      <c r="D175" s="5">
        <f>IF(COUNTIF(Funcionarios!$B$2:$B$191,Funcionarios!B165)&gt;0,SUMIFS(Departamentos!$B:$B,Departamentos!$C:$C,Funcionarios!B165)/COUNTIF(Funcionarios!$B$2:$B$191,Funcionarios!B165)*IF(Funcionarios!G165&gt;0,Funcionarios!G165/30,1),0)</f>
        <v>0</v>
      </c>
      <c r="E175" s="5">
        <f>Funcionarios!$F165</f>
        <v>0</v>
      </c>
      <c r="F175" s="5">
        <f>Funcionarios!$E165</f>
        <v>0</v>
      </c>
      <c r="G175" s="5">
        <f t="shared" si="6"/>
        <v>0</v>
      </c>
    </row>
    <row r="176" spans="1:7" x14ac:dyDescent="0.25">
      <c r="A176">
        <f>Funcionarios!A166</f>
        <v>0</v>
      </c>
      <c r="B176">
        <f>Funcionarios!B166</f>
        <v>0</v>
      </c>
      <c r="C176" s="5">
        <f>(IF(AND(Funcionarios!D166&gt;=1,COUNTIF(Funcionarios!$D$2:$D$191,"&gt;=1")&gt;0),(Editavel!$B$17-SUM(Departamentos!$B:$B)-SUM(Funcionarios!$F$2:$F$191))*Editavel!$C$25/COUNTIF(Funcionarios!$D$2:$D$191,"&gt;=1"),0)+IF(AND(Funcionarios!D166&gt;=2,COUNTIF(Funcionarios!$D$2:$D$191,"&gt;=2")&gt;0),(Editavel!$B$17-SUM(Departamentos!$B:$B)-SUM(Funcionarios!$F$2:$F$191))*Editavel!$C$26/COUNTIF(Funcionarios!$D$2:$D$191,"&gt;=2"),0)+IF(AND(Funcionarios!D166&gt;=3,COUNTIF(Funcionarios!$D$2:$D$191,"&gt;=3")&gt;0),(Editavel!$B$17-SUM(Departamentos!$B:$B)-SUM(Funcionarios!$F$2:$F$191))*Editavel!$C$27/COUNTIF(Funcionarios!$D$2:$D$191,"&gt;=3"),0)+IF(AND(Funcionarios!D166&gt;=4,COUNTIF(Funcionarios!$D$2:$D$191,"&gt;=4")&gt;0),(Editavel!$B$17-SUM(Departamentos!$B:$B)-SUM(Funcionarios!$F$2:$F$191))*Editavel!$C$28/COUNTIF(Funcionarios!$D$2:$D$191,"&gt;=4"),0)+IF(AND(Funcionarios!D166&gt;=5,COUNTIF(Funcionarios!$D$2:$D$191,"&gt;=5")&gt;0),(Editavel!$B$17-SUM(Departamentos!$B:$B)-SUM(Funcionarios!$F$2:$F$191))*Editavel!$C$29/COUNTIF(Funcionarios!$D$2:$D$191,"&gt;=5"),0))*IF(Funcionarios!G166&gt;0,Funcionarios!G166/30,1)</f>
        <v>0</v>
      </c>
      <c r="D176" s="5">
        <f>IF(COUNTIF(Funcionarios!$B$2:$B$191,Funcionarios!B166)&gt;0,SUMIFS(Departamentos!$B:$B,Departamentos!$C:$C,Funcionarios!B166)/COUNTIF(Funcionarios!$B$2:$B$191,Funcionarios!B166)*IF(Funcionarios!G166&gt;0,Funcionarios!G166/30,1),0)</f>
        <v>0</v>
      </c>
      <c r="E176" s="5">
        <f>Funcionarios!$F166</f>
        <v>0</v>
      </c>
      <c r="F176" s="5">
        <f>Funcionarios!$E166</f>
        <v>0</v>
      </c>
      <c r="G176" s="5">
        <f t="shared" si="6"/>
        <v>0</v>
      </c>
    </row>
    <row r="177" spans="1:7" x14ac:dyDescent="0.25">
      <c r="A177">
        <f>Funcionarios!A167</f>
        <v>0</v>
      </c>
      <c r="B177">
        <f>Funcionarios!B167</f>
        <v>0</v>
      </c>
      <c r="C177" s="5">
        <f>(IF(AND(Funcionarios!D167&gt;=1,COUNTIF(Funcionarios!$D$2:$D$191,"&gt;=1")&gt;0),(Editavel!$B$17-SUM(Departamentos!$B:$B)-SUM(Funcionarios!$F$2:$F$191))*Editavel!$C$25/COUNTIF(Funcionarios!$D$2:$D$191,"&gt;=1"),0)+IF(AND(Funcionarios!D167&gt;=2,COUNTIF(Funcionarios!$D$2:$D$191,"&gt;=2")&gt;0),(Editavel!$B$17-SUM(Departamentos!$B:$B)-SUM(Funcionarios!$F$2:$F$191))*Editavel!$C$26/COUNTIF(Funcionarios!$D$2:$D$191,"&gt;=2"),0)+IF(AND(Funcionarios!D167&gt;=3,COUNTIF(Funcionarios!$D$2:$D$191,"&gt;=3")&gt;0),(Editavel!$B$17-SUM(Departamentos!$B:$B)-SUM(Funcionarios!$F$2:$F$191))*Editavel!$C$27/COUNTIF(Funcionarios!$D$2:$D$191,"&gt;=3"),0)+IF(AND(Funcionarios!D167&gt;=4,COUNTIF(Funcionarios!$D$2:$D$191,"&gt;=4")&gt;0),(Editavel!$B$17-SUM(Departamentos!$B:$B)-SUM(Funcionarios!$F$2:$F$191))*Editavel!$C$28/COUNTIF(Funcionarios!$D$2:$D$191,"&gt;=4"),0)+IF(AND(Funcionarios!D167&gt;=5,COUNTIF(Funcionarios!$D$2:$D$191,"&gt;=5")&gt;0),(Editavel!$B$17-SUM(Departamentos!$B:$B)-SUM(Funcionarios!$F$2:$F$191))*Editavel!$C$29/COUNTIF(Funcionarios!$D$2:$D$191,"&gt;=5"),0))*IF(Funcionarios!G167&gt;0,Funcionarios!G167/30,1)</f>
        <v>0</v>
      </c>
      <c r="D177" s="5">
        <f>IF(COUNTIF(Funcionarios!$B$2:$B$191,Funcionarios!B167)&gt;0,SUMIFS(Departamentos!$B:$B,Departamentos!$C:$C,Funcionarios!B167)/COUNTIF(Funcionarios!$B$2:$B$191,Funcionarios!B167)*IF(Funcionarios!G167&gt;0,Funcionarios!G167/30,1),0)</f>
        <v>0</v>
      </c>
      <c r="E177" s="5">
        <f>Funcionarios!$F167</f>
        <v>0</v>
      </c>
      <c r="F177" s="5">
        <f>Funcionarios!$E167</f>
        <v>0</v>
      </c>
      <c r="G177" s="5">
        <f t="shared" si="6"/>
        <v>0</v>
      </c>
    </row>
    <row r="178" spans="1:7" x14ac:dyDescent="0.25">
      <c r="A178">
        <f>Funcionarios!A168</f>
        <v>0</v>
      </c>
      <c r="B178">
        <f>Funcionarios!B168</f>
        <v>0</v>
      </c>
      <c r="C178" s="5">
        <f>(IF(AND(Funcionarios!D168&gt;=1,COUNTIF(Funcionarios!$D$2:$D$191,"&gt;=1")&gt;0),(Editavel!$B$17-SUM(Departamentos!$B:$B)-SUM(Funcionarios!$F$2:$F$191))*Editavel!$C$25/COUNTIF(Funcionarios!$D$2:$D$191,"&gt;=1"),0)+IF(AND(Funcionarios!D168&gt;=2,COUNTIF(Funcionarios!$D$2:$D$191,"&gt;=2")&gt;0),(Editavel!$B$17-SUM(Departamentos!$B:$B)-SUM(Funcionarios!$F$2:$F$191))*Editavel!$C$26/COUNTIF(Funcionarios!$D$2:$D$191,"&gt;=2"),0)+IF(AND(Funcionarios!D168&gt;=3,COUNTIF(Funcionarios!$D$2:$D$191,"&gt;=3")&gt;0),(Editavel!$B$17-SUM(Departamentos!$B:$B)-SUM(Funcionarios!$F$2:$F$191))*Editavel!$C$27/COUNTIF(Funcionarios!$D$2:$D$191,"&gt;=3"),0)+IF(AND(Funcionarios!D168&gt;=4,COUNTIF(Funcionarios!$D$2:$D$191,"&gt;=4")&gt;0),(Editavel!$B$17-SUM(Departamentos!$B:$B)-SUM(Funcionarios!$F$2:$F$191))*Editavel!$C$28/COUNTIF(Funcionarios!$D$2:$D$191,"&gt;=4"),0)+IF(AND(Funcionarios!D168&gt;=5,COUNTIF(Funcionarios!$D$2:$D$191,"&gt;=5")&gt;0),(Editavel!$B$17-SUM(Departamentos!$B:$B)-SUM(Funcionarios!$F$2:$F$191))*Editavel!$C$29/COUNTIF(Funcionarios!$D$2:$D$191,"&gt;=5"),0))*IF(Funcionarios!G168&gt;0,Funcionarios!G168/30,1)</f>
        <v>0</v>
      </c>
      <c r="D178" s="5">
        <f>IF(COUNTIF(Funcionarios!$B$2:$B$191,Funcionarios!B168)&gt;0,SUMIFS(Departamentos!$B:$B,Departamentos!$C:$C,Funcionarios!B168)/COUNTIF(Funcionarios!$B$2:$B$191,Funcionarios!B168)*IF(Funcionarios!G168&gt;0,Funcionarios!G168/30,1),0)</f>
        <v>0</v>
      </c>
      <c r="E178" s="5">
        <f>Funcionarios!$F168</f>
        <v>0</v>
      </c>
      <c r="F178" s="5">
        <f>Funcionarios!$E168</f>
        <v>0</v>
      </c>
      <c r="G178" s="5">
        <f t="shared" si="6"/>
        <v>0</v>
      </c>
    </row>
    <row r="179" spans="1:7" x14ac:dyDescent="0.25">
      <c r="A179">
        <f>Funcionarios!A169</f>
        <v>0</v>
      </c>
      <c r="B179">
        <f>Funcionarios!B169</f>
        <v>0</v>
      </c>
      <c r="C179" s="5">
        <f>(IF(AND(Funcionarios!D169&gt;=1,COUNTIF(Funcionarios!$D$2:$D$191,"&gt;=1")&gt;0),(Editavel!$B$17-SUM(Departamentos!$B:$B)-SUM(Funcionarios!$F$2:$F$191))*Editavel!$C$25/COUNTIF(Funcionarios!$D$2:$D$191,"&gt;=1"),0)+IF(AND(Funcionarios!D169&gt;=2,COUNTIF(Funcionarios!$D$2:$D$191,"&gt;=2")&gt;0),(Editavel!$B$17-SUM(Departamentos!$B:$B)-SUM(Funcionarios!$F$2:$F$191))*Editavel!$C$26/COUNTIF(Funcionarios!$D$2:$D$191,"&gt;=2"),0)+IF(AND(Funcionarios!D169&gt;=3,COUNTIF(Funcionarios!$D$2:$D$191,"&gt;=3")&gt;0),(Editavel!$B$17-SUM(Departamentos!$B:$B)-SUM(Funcionarios!$F$2:$F$191))*Editavel!$C$27/COUNTIF(Funcionarios!$D$2:$D$191,"&gt;=3"),0)+IF(AND(Funcionarios!D169&gt;=4,COUNTIF(Funcionarios!$D$2:$D$191,"&gt;=4")&gt;0),(Editavel!$B$17-SUM(Departamentos!$B:$B)-SUM(Funcionarios!$F$2:$F$191))*Editavel!$C$28/COUNTIF(Funcionarios!$D$2:$D$191,"&gt;=4"),0)+IF(AND(Funcionarios!D169&gt;=5,COUNTIF(Funcionarios!$D$2:$D$191,"&gt;=5")&gt;0),(Editavel!$B$17-SUM(Departamentos!$B:$B)-SUM(Funcionarios!$F$2:$F$191))*Editavel!$C$29/COUNTIF(Funcionarios!$D$2:$D$191,"&gt;=5"),0))*IF(Funcionarios!G169&gt;0,Funcionarios!G169/30,1)</f>
        <v>0</v>
      </c>
      <c r="D179" s="5">
        <f>IF(COUNTIF(Funcionarios!$B$2:$B$191,Funcionarios!B169)&gt;0,SUMIFS(Departamentos!$B:$B,Departamentos!$C:$C,Funcionarios!B169)/COUNTIF(Funcionarios!$B$2:$B$191,Funcionarios!B169)*IF(Funcionarios!G169&gt;0,Funcionarios!G169/30,1),0)</f>
        <v>0</v>
      </c>
      <c r="E179" s="5">
        <f>Funcionarios!$F169</f>
        <v>0</v>
      </c>
      <c r="F179" s="5">
        <f>Funcionarios!$E169</f>
        <v>0</v>
      </c>
      <c r="G179" s="5">
        <f t="shared" si="6"/>
        <v>0</v>
      </c>
    </row>
    <row r="180" spans="1:7" x14ac:dyDescent="0.25">
      <c r="A180">
        <f>Funcionarios!A170</f>
        <v>0</v>
      </c>
      <c r="B180">
        <f>Funcionarios!B170</f>
        <v>0</v>
      </c>
      <c r="C180" s="5">
        <f>(IF(AND(Funcionarios!D170&gt;=1,COUNTIF(Funcionarios!$D$2:$D$191,"&gt;=1")&gt;0),(Editavel!$B$17-SUM(Departamentos!$B:$B)-SUM(Funcionarios!$F$2:$F$191))*Editavel!$C$25/COUNTIF(Funcionarios!$D$2:$D$191,"&gt;=1"),0)+IF(AND(Funcionarios!D170&gt;=2,COUNTIF(Funcionarios!$D$2:$D$191,"&gt;=2")&gt;0),(Editavel!$B$17-SUM(Departamentos!$B:$B)-SUM(Funcionarios!$F$2:$F$191))*Editavel!$C$26/COUNTIF(Funcionarios!$D$2:$D$191,"&gt;=2"),0)+IF(AND(Funcionarios!D170&gt;=3,COUNTIF(Funcionarios!$D$2:$D$191,"&gt;=3")&gt;0),(Editavel!$B$17-SUM(Departamentos!$B:$B)-SUM(Funcionarios!$F$2:$F$191))*Editavel!$C$27/COUNTIF(Funcionarios!$D$2:$D$191,"&gt;=3"),0)+IF(AND(Funcionarios!D170&gt;=4,COUNTIF(Funcionarios!$D$2:$D$191,"&gt;=4")&gt;0),(Editavel!$B$17-SUM(Departamentos!$B:$B)-SUM(Funcionarios!$F$2:$F$191))*Editavel!$C$28/COUNTIF(Funcionarios!$D$2:$D$191,"&gt;=4"),0)+IF(AND(Funcionarios!D170&gt;=5,COUNTIF(Funcionarios!$D$2:$D$191,"&gt;=5")&gt;0),(Editavel!$B$17-SUM(Departamentos!$B:$B)-SUM(Funcionarios!$F$2:$F$191))*Editavel!$C$29/COUNTIF(Funcionarios!$D$2:$D$191,"&gt;=5"),0))*IF(Funcionarios!G170&gt;0,Funcionarios!G170/30,1)</f>
        <v>0</v>
      </c>
      <c r="D180" s="5">
        <f>IF(COUNTIF(Funcionarios!$B$2:$B$191,Funcionarios!B170)&gt;0,SUMIFS(Departamentos!$B:$B,Departamentos!$C:$C,Funcionarios!B170)/COUNTIF(Funcionarios!$B$2:$B$191,Funcionarios!B170)*IF(Funcionarios!G170&gt;0,Funcionarios!G170/30,1),0)</f>
        <v>0</v>
      </c>
      <c r="E180" s="5">
        <f>Funcionarios!$F170</f>
        <v>0</v>
      </c>
      <c r="F180" s="5">
        <f>Funcionarios!$E170</f>
        <v>0</v>
      </c>
      <c r="G180" s="5">
        <f t="shared" si="6"/>
        <v>0</v>
      </c>
    </row>
    <row r="181" spans="1:7" x14ac:dyDescent="0.25">
      <c r="A181">
        <f>Funcionarios!A171</f>
        <v>0</v>
      </c>
      <c r="B181">
        <f>Funcionarios!B171</f>
        <v>0</v>
      </c>
      <c r="C181" s="5">
        <f>(IF(AND(Funcionarios!D171&gt;=1,COUNTIF(Funcionarios!$D$2:$D$191,"&gt;=1")&gt;0),(Editavel!$B$17-SUM(Departamentos!$B:$B)-SUM(Funcionarios!$F$2:$F$191))*Editavel!$C$25/COUNTIF(Funcionarios!$D$2:$D$191,"&gt;=1"),0)+IF(AND(Funcionarios!D171&gt;=2,COUNTIF(Funcionarios!$D$2:$D$191,"&gt;=2")&gt;0),(Editavel!$B$17-SUM(Departamentos!$B:$B)-SUM(Funcionarios!$F$2:$F$191))*Editavel!$C$26/COUNTIF(Funcionarios!$D$2:$D$191,"&gt;=2"),0)+IF(AND(Funcionarios!D171&gt;=3,COUNTIF(Funcionarios!$D$2:$D$191,"&gt;=3")&gt;0),(Editavel!$B$17-SUM(Departamentos!$B:$B)-SUM(Funcionarios!$F$2:$F$191))*Editavel!$C$27/COUNTIF(Funcionarios!$D$2:$D$191,"&gt;=3"),0)+IF(AND(Funcionarios!D171&gt;=4,COUNTIF(Funcionarios!$D$2:$D$191,"&gt;=4")&gt;0),(Editavel!$B$17-SUM(Departamentos!$B:$B)-SUM(Funcionarios!$F$2:$F$191))*Editavel!$C$28/COUNTIF(Funcionarios!$D$2:$D$191,"&gt;=4"),0)+IF(AND(Funcionarios!D171&gt;=5,COUNTIF(Funcionarios!$D$2:$D$191,"&gt;=5")&gt;0),(Editavel!$B$17-SUM(Departamentos!$B:$B)-SUM(Funcionarios!$F$2:$F$191))*Editavel!$C$29/COUNTIF(Funcionarios!$D$2:$D$191,"&gt;=5"),0))*IF(Funcionarios!G171&gt;0,Funcionarios!G171/30,1)</f>
        <v>0</v>
      </c>
      <c r="D181" s="5">
        <f>IF(COUNTIF(Funcionarios!$B$2:$B$191,Funcionarios!B171)&gt;0,SUMIFS(Departamentos!$B:$B,Departamentos!$C:$C,Funcionarios!B171)/COUNTIF(Funcionarios!$B$2:$B$191,Funcionarios!B171)*IF(Funcionarios!G171&gt;0,Funcionarios!G171/30,1),0)</f>
        <v>0</v>
      </c>
      <c r="E181" s="5">
        <f>Funcionarios!$F171</f>
        <v>0</v>
      </c>
      <c r="F181" s="5">
        <f>Funcionarios!$E171</f>
        <v>0</v>
      </c>
      <c r="G181" s="5">
        <f t="shared" si="6"/>
        <v>0</v>
      </c>
    </row>
    <row r="182" spans="1:7" x14ac:dyDescent="0.25">
      <c r="A182">
        <f>Funcionarios!A172</f>
        <v>0</v>
      </c>
      <c r="B182">
        <f>Funcionarios!B172</f>
        <v>0</v>
      </c>
      <c r="C182" s="5">
        <f>(IF(AND(Funcionarios!D172&gt;=1,COUNTIF(Funcionarios!$D$2:$D$191,"&gt;=1")&gt;0),(Editavel!$B$17-SUM(Departamentos!$B:$B)-SUM(Funcionarios!$F$2:$F$191))*Editavel!$C$25/COUNTIF(Funcionarios!$D$2:$D$191,"&gt;=1"),0)+IF(AND(Funcionarios!D172&gt;=2,COUNTIF(Funcionarios!$D$2:$D$191,"&gt;=2")&gt;0),(Editavel!$B$17-SUM(Departamentos!$B:$B)-SUM(Funcionarios!$F$2:$F$191))*Editavel!$C$26/COUNTIF(Funcionarios!$D$2:$D$191,"&gt;=2"),0)+IF(AND(Funcionarios!D172&gt;=3,COUNTIF(Funcionarios!$D$2:$D$191,"&gt;=3")&gt;0),(Editavel!$B$17-SUM(Departamentos!$B:$B)-SUM(Funcionarios!$F$2:$F$191))*Editavel!$C$27/COUNTIF(Funcionarios!$D$2:$D$191,"&gt;=3"),0)+IF(AND(Funcionarios!D172&gt;=4,COUNTIF(Funcionarios!$D$2:$D$191,"&gt;=4")&gt;0),(Editavel!$B$17-SUM(Departamentos!$B:$B)-SUM(Funcionarios!$F$2:$F$191))*Editavel!$C$28/COUNTIF(Funcionarios!$D$2:$D$191,"&gt;=4"),0)+IF(AND(Funcionarios!D172&gt;=5,COUNTIF(Funcionarios!$D$2:$D$191,"&gt;=5")&gt;0),(Editavel!$B$17-SUM(Departamentos!$B:$B)-SUM(Funcionarios!$F$2:$F$191))*Editavel!$C$29/COUNTIF(Funcionarios!$D$2:$D$191,"&gt;=5"),0))*IF(Funcionarios!G172&gt;0,Funcionarios!G172/30,1)</f>
        <v>0</v>
      </c>
      <c r="D182" s="5">
        <f>IF(COUNTIF(Funcionarios!$B$2:$B$191,Funcionarios!B172)&gt;0,SUMIFS(Departamentos!$B:$B,Departamentos!$C:$C,Funcionarios!B172)/COUNTIF(Funcionarios!$B$2:$B$191,Funcionarios!B172)*IF(Funcionarios!G172&gt;0,Funcionarios!G172/30,1),0)</f>
        <v>0</v>
      </c>
      <c r="E182" s="5">
        <f>Funcionarios!$F172</f>
        <v>0</v>
      </c>
      <c r="F182" s="5">
        <f>Funcionarios!$E172</f>
        <v>0</v>
      </c>
      <c r="G182" s="5">
        <f t="shared" si="6"/>
        <v>0</v>
      </c>
    </row>
    <row r="183" spans="1:7" x14ac:dyDescent="0.25">
      <c r="A183">
        <f>Funcionarios!A173</f>
        <v>0</v>
      </c>
      <c r="B183">
        <f>Funcionarios!B173</f>
        <v>0</v>
      </c>
      <c r="C183" s="5">
        <f>(IF(AND(Funcionarios!D173&gt;=1,COUNTIF(Funcionarios!$D$2:$D$191,"&gt;=1")&gt;0),(Editavel!$B$17-SUM(Departamentos!$B:$B)-SUM(Funcionarios!$F$2:$F$191))*Editavel!$C$25/COUNTIF(Funcionarios!$D$2:$D$191,"&gt;=1"),0)+IF(AND(Funcionarios!D173&gt;=2,COUNTIF(Funcionarios!$D$2:$D$191,"&gt;=2")&gt;0),(Editavel!$B$17-SUM(Departamentos!$B:$B)-SUM(Funcionarios!$F$2:$F$191))*Editavel!$C$26/COUNTIF(Funcionarios!$D$2:$D$191,"&gt;=2"),0)+IF(AND(Funcionarios!D173&gt;=3,COUNTIF(Funcionarios!$D$2:$D$191,"&gt;=3")&gt;0),(Editavel!$B$17-SUM(Departamentos!$B:$B)-SUM(Funcionarios!$F$2:$F$191))*Editavel!$C$27/COUNTIF(Funcionarios!$D$2:$D$191,"&gt;=3"),0)+IF(AND(Funcionarios!D173&gt;=4,COUNTIF(Funcionarios!$D$2:$D$191,"&gt;=4")&gt;0),(Editavel!$B$17-SUM(Departamentos!$B:$B)-SUM(Funcionarios!$F$2:$F$191))*Editavel!$C$28/COUNTIF(Funcionarios!$D$2:$D$191,"&gt;=4"),0)+IF(AND(Funcionarios!D173&gt;=5,COUNTIF(Funcionarios!$D$2:$D$191,"&gt;=5")&gt;0),(Editavel!$B$17-SUM(Departamentos!$B:$B)-SUM(Funcionarios!$F$2:$F$191))*Editavel!$C$29/COUNTIF(Funcionarios!$D$2:$D$191,"&gt;=5"),0))*IF(Funcionarios!G173&gt;0,Funcionarios!G173/30,1)</f>
        <v>0</v>
      </c>
      <c r="D183" s="5">
        <f>IF(COUNTIF(Funcionarios!$B$2:$B$191,Funcionarios!B173)&gt;0,SUMIFS(Departamentos!$B:$B,Departamentos!$C:$C,Funcionarios!B173)/COUNTIF(Funcionarios!$B$2:$B$191,Funcionarios!B173)*IF(Funcionarios!G173&gt;0,Funcionarios!G173/30,1),0)</f>
        <v>0</v>
      </c>
      <c r="E183" s="5">
        <f>Funcionarios!$F173</f>
        <v>0</v>
      </c>
      <c r="F183" s="5">
        <f>Funcionarios!$E173</f>
        <v>0</v>
      </c>
      <c r="G183" s="5">
        <f t="shared" si="6"/>
        <v>0</v>
      </c>
    </row>
    <row r="184" spans="1:7" x14ac:dyDescent="0.25">
      <c r="A184">
        <f>Funcionarios!A174</f>
        <v>0</v>
      </c>
      <c r="B184">
        <f>Funcionarios!B174</f>
        <v>0</v>
      </c>
      <c r="C184" s="5">
        <f>(IF(AND(Funcionarios!D174&gt;=1,COUNTIF(Funcionarios!$D$2:$D$191,"&gt;=1")&gt;0),(Editavel!$B$17-SUM(Departamentos!$B:$B)-SUM(Funcionarios!$F$2:$F$191))*Editavel!$C$25/COUNTIF(Funcionarios!$D$2:$D$191,"&gt;=1"),0)+IF(AND(Funcionarios!D174&gt;=2,COUNTIF(Funcionarios!$D$2:$D$191,"&gt;=2")&gt;0),(Editavel!$B$17-SUM(Departamentos!$B:$B)-SUM(Funcionarios!$F$2:$F$191))*Editavel!$C$26/COUNTIF(Funcionarios!$D$2:$D$191,"&gt;=2"),0)+IF(AND(Funcionarios!D174&gt;=3,COUNTIF(Funcionarios!$D$2:$D$191,"&gt;=3")&gt;0),(Editavel!$B$17-SUM(Departamentos!$B:$B)-SUM(Funcionarios!$F$2:$F$191))*Editavel!$C$27/COUNTIF(Funcionarios!$D$2:$D$191,"&gt;=3"),0)+IF(AND(Funcionarios!D174&gt;=4,COUNTIF(Funcionarios!$D$2:$D$191,"&gt;=4")&gt;0),(Editavel!$B$17-SUM(Departamentos!$B:$B)-SUM(Funcionarios!$F$2:$F$191))*Editavel!$C$28/COUNTIF(Funcionarios!$D$2:$D$191,"&gt;=4"),0)+IF(AND(Funcionarios!D174&gt;=5,COUNTIF(Funcionarios!$D$2:$D$191,"&gt;=5")&gt;0),(Editavel!$B$17-SUM(Departamentos!$B:$B)-SUM(Funcionarios!$F$2:$F$191))*Editavel!$C$29/COUNTIF(Funcionarios!$D$2:$D$191,"&gt;=5"),0))*IF(Funcionarios!G174&gt;0,Funcionarios!G174/30,1)</f>
        <v>0</v>
      </c>
      <c r="D184" s="5">
        <f>IF(COUNTIF(Funcionarios!$B$2:$B$191,Funcionarios!B174)&gt;0,SUMIFS(Departamentos!$B:$B,Departamentos!$C:$C,Funcionarios!B174)/COUNTIF(Funcionarios!$B$2:$B$191,Funcionarios!B174)*IF(Funcionarios!G174&gt;0,Funcionarios!G174/30,1),0)</f>
        <v>0</v>
      </c>
      <c r="E184" s="5">
        <f>Funcionarios!$F174</f>
        <v>0</v>
      </c>
      <c r="F184" s="5">
        <f>Funcionarios!$E174</f>
        <v>0</v>
      </c>
      <c r="G184" s="5">
        <f t="shared" si="6"/>
        <v>0</v>
      </c>
    </row>
    <row r="185" spans="1:7" x14ac:dyDescent="0.25">
      <c r="A185">
        <f>Funcionarios!A175</f>
        <v>0</v>
      </c>
      <c r="B185">
        <f>Funcionarios!B175</f>
        <v>0</v>
      </c>
      <c r="C185" s="5">
        <f>(IF(AND(Funcionarios!D175&gt;=1,COUNTIF(Funcionarios!$D$2:$D$191,"&gt;=1")&gt;0),(Editavel!$B$17-SUM(Departamentos!$B:$B)-SUM(Funcionarios!$F$2:$F$191))*Editavel!$C$25/COUNTIF(Funcionarios!$D$2:$D$191,"&gt;=1"),0)+IF(AND(Funcionarios!D175&gt;=2,COUNTIF(Funcionarios!$D$2:$D$191,"&gt;=2")&gt;0),(Editavel!$B$17-SUM(Departamentos!$B:$B)-SUM(Funcionarios!$F$2:$F$191))*Editavel!$C$26/COUNTIF(Funcionarios!$D$2:$D$191,"&gt;=2"),0)+IF(AND(Funcionarios!D175&gt;=3,COUNTIF(Funcionarios!$D$2:$D$191,"&gt;=3")&gt;0),(Editavel!$B$17-SUM(Departamentos!$B:$B)-SUM(Funcionarios!$F$2:$F$191))*Editavel!$C$27/COUNTIF(Funcionarios!$D$2:$D$191,"&gt;=3"),0)+IF(AND(Funcionarios!D175&gt;=4,COUNTIF(Funcionarios!$D$2:$D$191,"&gt;=4")&gt;0),(Editavel!$B$17-SUM(Departamentos!$B:$B)-SUM(Funcionarios!$F$2:$F$191))*Editavel!$C$28/COUNTIF(Funcionarios!$D$2:$D$191,"&gt;=4"),0)+IF(AND(Funcionarios!D175&gt;=5,COUNTIF(Funcionarios!$D$2:$D$191,"&gt;=5")&gt;0),(Editavel!$B$17-SUM(Departamentos!$B:$B)-SUM(Funcionarios!$F$2:$F$191))*Editavel!$C$29/COUNTIF(Funcionarios!$D$2:$D$191,"&gt;=5"),0))*IF(Funcionarios!G175&gt;0,Funcionarios!G175/30,1)</f>
        <v>0</v>
      </c>
      <c r="D185" s="5">
        <f>IF(COUNTIF(Funcionarios!$B$2:$B$191,Funcionarios!B175)&gt;0,SUMIFS(Departamentos!$B:$B,Departamentos!$C:$C,Funcionarios!B175)/COUNTIF(Funcionarios!$B$2:$B$191,Funcionarios!B175)*IF(Funcionarios!G175&gt;0,Funcionarios!G175/30,1),0)</f>
        <v>0</v>
      </c>
      <c r="E185" s="5">
        <f>Funcionarios!$F175</f>
        <v>0</v>
      </c>
      <c r="F185" s="5">
        <f>Funcionarios!$E175</f>
        <v>0</v>
      </c>
      <c r="G185" s="5">
        <f t="shared" si="6"/>
        <v>0</v>
      </c>
    </row>
    <row r="186" spans="1:7" x14ac:dyDescent="0.25">
      <c r="A186">
        <f>Funcionarios!A176</f>
        <v>0</v>
      </c>
      <c r="B186">
        <f>Funcionarios!B176</f>
        <v>0</v>
      </c>
      <c r="C186" s="5">
        <f>(IF(AND(Funcionarios!D176&gt;=1,COUNTIF(Funcionarios!$D$2:$D$191,"&gt;=1")&gt;0),(Editavel!$B$17-SUM(Departamentos!$B:$B)-SUM(Funcionarios!$F$2:$F$191))*Editavel!$C$25/COUNTIF(Funcionarios!$D$2:$D$191,"&gt;=1"),0)+IF(AND(Funcionarios!D176&gt;=2,COUNTIF(Funcionarios!$D$2:$D$191,"&gt;=2")&gt;0),(Editavel!$B$17-SUM(Departamentos!$B:$B)-SUM(Funcionarios!$F$2:$F$191))*Editavel!$C$26/COUNTIF(Funcionarios!$D$2:$D$191,"&gt;=2"),0)+IF(AND(Funcionarios!D176&gt;=3,COUNTIF(Funcionarios!$D$2:$D$191,"&gt;=3")&gt;0),(Editavel!$B$17-SUM(Departamentos!$B:$B)-SUM(Funcionarios!$F$2:$F$191))*Editavel!$C$27/COUNTIF(Funcionarios!$D$2:$D$191,"&gt;=3"),0)+IF(AND(Funcionarios!D176&gt;=4,COUNTIF(Funcionarios!$D$2:$D$191,"&gt;=4")&gt;0),(Editavel!$B$17-SUM(Departamentos!$B:$B)-SUM(Funcionarios!$F$2:$F$191))*Editavel!$C$28/COUNTIF(Funcionarios!$D$2:$D$191,"&gt;=4"),0)+IF(AND(Funcionarios!D176&gt;=5,COUNTIF(Funcionarios!$D$2:$D$191,"&gt;=5")&gt;0),(Editavel!$B$17-SUM(Departamentos!$B:$B)-SUM(Funcionarios!$F$2:$F$191))*Editavel!$C$29/COUNTIF(Funcionarios!$D$2:$D$191,"&gt;=5"),0))*IF(Funcionarios!G176&gt;0,Funcionarios!G176/30,1)</f>
        <v>0</v>
      </c>
      <c r="D186" s="5">
        <f>IF(COUNTIF(Funcionarios!$B$2:$B$191,Funcionarios!B176)&gt;0,SUMIFS(Departamentos!$B:$B,Departamentos!$C:$C,Funcionarios!B176)/COUNTIF(Funcionarios!$B$2:$B$191,Funcionarios!B176)*IF(Funcionarios!G176&gt;0,Funcionarios!G176/30,1),0)</f>
        <v>0</v>
      </c>
      <c r="E186" s="5">
        <f>Funcionarios!$F176</f>
        <v>0</v>
      </c>
      <c r="F186" s="5">
        <f>Funcionarios!$E176</f>
        <v>0</v>
      </c>
      <c r="G186" s="5">
        <f t="shared" si="6"/>
        <v>0</v>
      </c>
    </row>
    <row r="187" spans="1:7" x14ac:dyDescent="0.25">
      <c r="A187">
        <f>Funcionarios!A177</f>
        <v>0</v>
      </c>
      <c r="B187">
        <f>Funcionarios!B177</f>
        <v>0</v>
      </c>
      <c r="C187" s="5">
        <f>(IF(AND(Funcionarios!D177&gt;=1,COUNTIF(Funcionarios!$D$2:$D$191,"&gt;=1")&gt;0),(Editavel!$B$17-SUM(Departamentos!$B:$B)-SUM(Funcionarios!$F$2:$F$191))*Editavel!$C$25/COUNTIF(Funcionarios!$D$2:$D$191,"&gt;=1"),0)+IF(AND(Funcionarios!D177&gt;=2,COUNTIF(Funcionarios!$D$2:$D$191,"&gt;=2")&gt;0),(Editavel!$B$17-SUM(Departamentos!$B:$B)-SUM(Funcionarios!$F$2:$F$191))*Editavel!$C$26/COUNTIF(Funcionarios!$D$2:$D$191,"&gt;=2"),0)+IF(AND(Funcionarios!D177&gt;=3,COUNTIF(Funcionarios!$D$2:$D$191,"&gt;=3")&gt;0),(Editavel!$B$17-SUM(Departamentos!$B:$B)-SUM(Funcionarios!$F$2:$F$191))*Editavel!$C$27/COUNTIF(Funcionarios!$D$2:$D$191,"&gt;=3"),0)+IF(AND(Funcionarios!D177&gt;=4,COUNTIF(Funcionarios!$D$2:$D$191,"&gt;=4")&gt;0),(Editavel!$B$17-SUM(Departamentos!$B:$B)-SUM(Funcionarios!$F$2:$F$191))*Editavel!$C$28/COUNTIF(Funcionarios!$D$2:$D$191,"&gt;=4"),0)+IF(AND(Funcionarios!D177&gt;=5,COUNTIF(Funcionarios!$D$2:$D$191,"&gt;=5")&gt;0),(Editavel!$B$17-SUM(Departamentos!$B:$B)-SUM(Funcionarios!$F$2:$F$191))*Editavel!$C$29/COUNTIF(Funcionarios!$D$2:$D$191,"&gt;=5"),0))*IF(Funcionarios!G177&gt;0,Funcionarios!G177/30,1)</f>
        <v>0</v>
      </c>
      <c r="D187" s="5">
        <f>IF(COUNTIF(Funcionarios!$B$2:$B$191,Funcionarios!B177)&gt;0,SUMIFS(Departamentos!$B:$B,Departamentos!$C:$C,Funcionarios!B177)/COUNTIF(Funcionarios!$B$2:$B$191,Funcionarios!B177)*IF(Funcionarios!G177&gt;0,Funcionarios!G177/30,1),0)</f>
        <v>0</v>
      </c>
      <c r="E187" s="5">
        <f>Funcionarios!$F177</f>
        <v>0</v>
      </c>
      <c r="F187" s="5">
        <f>Funcionarios!$E177</f>
        <v>0</v>
      </c>
      <c r="G187" s="5">
        <f t="shared" si="6"/>
        <v>0</v>
      </c>
    </row>
    <row r="188" spans="1:7" x14ac:dyDescent="0.25">
      <c r="A188">
        <f>Funcionarios!A178</f>
        <v>0</v>
      </c>
      <c r="B188">
        <f>Funcionarios!B178</f>
        <v>0</v>
      </c>
      <c r="C188" s="5">
        <f>(IF(AND(Funcionarios!D178&gt;=1,COUNTIF(Funcionarios!$D$2:$D$191,"&gt;=1")&gt;0),(Editavel!$B$17-SUM(Departamentos!$B:$B)-SUM(Funcionarios!$F$2:$F$191))*Editavel!$C$25/COUNTIF(Funcionarios!$D$2:$D$191,"&gt;=1"),0)+IF(AND(Funcionarios!D178&gt;=2,COUNTIF(Funcionarios!$D$2:$D$191,"&gt;=2")&gt;0),(Editavel!$B$17-SUM(Departamentos!$B:$B)-SUM(Funcionarios!$F$2:$F$191))*Editavel!$C$26/COUNTIF(Funcionarios!$D$2:$D$191,"&gt;=2"),0)+IF(AND(Funcionarios!D178&gt;=3,COUNTIF(Funcionarios!$D$2:$D$191,"&gt;=3")&gt;0),(Editavel!$B$17-SUM(Departamentos!$B:$B)-SUM(Funcionarios!$F$2:$F$191))*Editavel!$C$27/COUNTIF(Funcionarios!$D$2:$D$191,"&gt;=3"),0)+IF(AND(Funcionarios!D178&gt;=4,COUNTIF(Funcionarios!$D$2:$D$191,"&gt;=4")&gt;0),(Editavel!$B$17-SUM(Departamentos!$B:$B)-SUM(Funcionarios!$F$2:$F$191))*Editavel!$C$28/COUNTIF(Funcionarios!$D$2:$D$191,"&gt;=4"),0)+IF(AND(Funcionarios!D178&gt;=5,COUNTIF(Funcionarios!$D$2:$D$191,"&gt;=5")&gt;0),(Editavel!$B$17-SUM(Departamentos!$B:$B)-SUM(Funcionarios!$F$2:$F$191))*Editavel!$C$29/COUNTIF(Funcionarios!$D$2:$D$191,"&gt;=5"),0))*IF(Funcionarios!G178&gt;0,Funcionarios!G178/30,1)</f>
        <v>0</v>
      </c>
      <c r="D188" s="5">
        <f>IF(COUNTIF(Funcionarios!$B$2:$B$191,Funcionarios!B178)&gt;0,SUMIFS(Departamentos!$B:$B,Departamentos!$C:$C,Funcionarios!B178)/COUNTIF(Funcionarios!$B$2:$B$191,Funcionarios!B178)*IF(Funcionarios!G178&gt;0,Funcionarios!G178/30,1),0)</f>
        <v>0</v>
      </c>
      <c r="E188" s="5">
        <f>Funcionarios!$F178</f>
        <v>0</v>
      </c>
      <c r="F188" s="5">
        <f>Funcionarios!$E178</f>
        <v>0</v>
      </c>
      <c r="G188" s="5">
        <f t="shared" si="6"/>
        <v>0</v>
      </c>
    </row>
    <row r="189" spans="1:7" x14ac:dyDescent="0.25">
      <c r="A189">
        <f>Funcionarios!A179</f>
        <v>0</v>
      </c>
      <c r="B189">
        <f>Funcionarios!B179</f>
        <v>0</v>
      </c>
      <c r="C189" s="5">
        <f>(IF(AND(Funcionarios!D179&gt;=1,COUNTIF(Funcionarios!$D$2:$D$191,"&gt;=1")&gt;0),(Editavel!$B$17-SUM(Departamentos!$B:$B)-SUM(Funcionarios!$F$2:$F$191))*Editavel!$C$25/COUNTIF(Funcionarios!$D$2:$D$191,"&gt;=1"),0)+IF(AND(Funcionarios!D179&gt;=2,COUNTIF(Funcionarios!$D$2:$D$191,"&gt;=2")&gt;0),(Editavel!$B$17-SUM(Departamentos!$B:$B)-SUM(Funcionarios!$F$2:$F$191))*Editavel!$C$26/COUNTIF(Funcionarios!$D$2:$D$191,"&gt;=2"),0)+IF(AND(Funcionarios!D179&gt;=3,COUNTIF(Funcionarios!$D$2:$D$191,"&gt;=3")&gt;0),(Editavel!$B$17-SUM(Departamentos!$B:$B)-SUM(Funcionarios!$F$2:$F$191))*Editavel!$C$27/COUNTIF(Funcionarios!$D$2:$D$191,"&gt;=3"),0)+IF(AND(Funcionarios!D179&gt;=4,COUNTIF(Funcionarios!$D$2:$D$191,"&gt;=4")&gt;0),(Editavel!$B$17-SUM(Departamentos!$B:$B)-SUM(Funcionarios!$F$2:$F$191))*Editavel!$C$28/COUNTIF(Funcionarios!$D$2:$D$191,"&gt;=4"),0)+IF(AND(Funcionarios!D179&gt;=5,COUNTIF(Funcionarios!$D$2:$D$191,"&gt;=5")&gt;0),(Editavel!$B$17-SUM(Departamentos!$B:$B)-SUM(Funcionarios!$F$2:$F$191))*Editavel!$C$29/COUNTIF(Funcionarios!$D$2:$D$191,"&gt;=5"),0))*IF(Funcionarios!G179&gt;0,Funcionarios!G179/30,1)</f>
        <v>0</v>
      </c>
      <c r="D189" s="5">
        <f>IF(COUNTIF(Funcionarios!$B$2:$B$191,Funcionarios!B179)&gt;0,SUMIFS(Departamentos!$B:$B,Departamentos!$C:$C,Funcionarios!B179)/COUNTIF(Funcionarios!$B$2:$B$191,Funcionarios!B179)*IF(Funcionarios!G179&gt;0,Funcionarios!G179/30,1),0)</f>
        <v>0</v>
      </c>
      <c r="E189" s="5">
        <f>Funcionarios!$F179</f>
        <v>0</v>
      </c>
      <c r="F189" s="5">
        <f>Funcionarios!$E179</f>
        <v>0</v>
      </c>
      <c r="G189" s="5">
        <f t="shared" si="6"/>
        <v>0</v>
      </c>
    </row>
    <row r="190" spans="1:7" x14ac:dyDescent="0.25">
      <c r="A190">
        <f>Funcionarios!A180</f>
        <v>0</v>
      </c>
      <c r="B190">
        <f>Funcionarios!B180</f>
        <v>0</v>
      </c>
      <c r="C190" s="5">
        <f>(IF(AND(Funcionarios!D180&gt;=1,COUNTIF(Funcionarios!$D$2:$D$191,"&gt;=1")&gt;0),(Editavel!$B$17-SUM(Departamentos!$B:$B)-SUM(Funcionarios!$F$2:$F$191))*Editavel!$C$25/COUNTIF(Funcionarios!$D$2:$D$191,"&gt;=1"),0)+IF(AND(Funcionarios!D180&gt;=2,COUNTIF(Funcionarios!$D$2:$D$191,"&gt;=2")&gt;0),(Editavel!$B$17-SUM(Departamentos!$B:$B)-SUM(Funcionarios!$F$2:$F$191))*Editavel!$C$26/COUNTIF(Funcionarios!$D$2:$D$191,"&gt;=2"),0)+IF(AND(Funcionarios!D180&gt;=3,COUNTIF(Funcionarios!$D$2:$D$191,"&gt;=3")&gt;0),(Editavel!$B$17-SUM(Departamentos!$B:$B)-SUM(Funcionarios!$F$2:$F$191))*Editavel!$C$27/COUNTIF(Funcionarios!$D$2:$D$191,"&gt;=3"),0)+IF(AND(Funcionarios!D180&gt;=4,COUNTIF(Funcionarios!$D$2:$D$191,"&gt;=4")&gt;0),(Editavel!$B$17-SUM(Departamentos!$B:$B)-SUM(Funcionarios!$F$2:$F$191))*Editavel!$C$28/COUNTIF(Funcionarios!$D$2:$D$191,"&gt;=4"),0)+IF(AND(Funcionarios!D180&gt;=5,COUNTIF(Funcionarios!$D$2:$D$191,"&gt;=5")&gt;0),(Editavel!$B$17-SUM(Departamentos!$B:$B)-SUM(Funcionarios!$F$2:$F$191))*Editavel!$C$29/COUNTIF(Funcionarios!$D$2:$D$191,"&gt;=5"),0))*IF(Funcionarios!G180&gt;0,Funcionarios!G180/30,1)</f>
        <v>0</v>
      </c>
      <c r="D190" s="5">
        <f>IF(COUNTIF(Funcionarios!$B$2:$B$191,Funcionarios!B180)&gt;0,SUMIFS(Departamentos!$B:$B,Departamentos!$C:$C,Funcionarios!B180)/COUNTIF(Funcionarios!$B$2:$B$191,Funcionarios!B180)*IF(Funcionarios!G180&gt;0,Funcionarios!G180/30,1),0)</f>
        <v>0</v>
      </c>
      <c r="E190" s="5">
        <f>Funcionarios!$F180</f>
        <v>0</v>
      </c>
      <c r="F190" s="5">
        <f>Funcionarios!$E180</f>
        <v>0</v>
      </c>
      <c r="G190" s="5">
        <f t="shared" si="6"/>
        <v>0</v>
      </c>
    </row>
    <row r="191" spans="1:7" x14ac:dyDescent="0.25">
      <c r="A191">
        <f>Funcionarios!A181</f>
        <v>0</v>
      </c>
      <c r="B191">
        <f>Funcionarios!B181</f>
        <v>0</v>
      </c>
      <c r="C191" s="5">
        <f>(IF(AND(Funcionarios!D181&gt;=1,COUNTIF(Funcionarios!$D$2:$D$191,"&gt;=1")&gt;0),(Editavel!$B$17-SUM(Departamentos!$B:$B)-SUM(Funcionarios!$F$2:$F$191))*Editavel!$C$25/COUNTIF(Funcionarios!$D$2:$D$191,"&gt;=1"),0)+IF(AND(Funcionarios!D181&gt;=2,COUNTIF(Funcionarios!$D$2:$D$191,"&gt;=2")&gt;0),(Editavel!$B$17-SUM(Departamentos!$B:$B)-SUM(Funcionarios!$F$2:$F$191))*Editavel!$C$26/COUNTIF(Funcionarios!$D$2:$D$191,"&gt;=2"),0)+IF(AND(Funcionarios!D181&gt;=3,COUNTIF(Funcionarios!$D$2:$D$191,"&gt;=3")&gt;0),(Editavel!$B$17-SUM(Departamentos!$B:$B)-SUM(Funcionarios!$F$2:$F$191))*Editavel!$C$27/COUNTIF(Funcionarios!$D$2:$D$191,"&gt;=3"),0)+IF(AND(Funcionarios!D181&gt;=4,COUNTIF(Funcionarios!$D$2:$D$191,"&gt;=4")&gt;0),(Editavel!$B$17-SUM(Departamentos!$B:$B)-SUM(Funcionarios!$F$2:$F$191))*Editavel!$C$28/COUNTIF(Funcionarios!$D$2:$D$191,"&gt;=4"),0)+IF(AND(Funcionarios!D181&gt;=5,COUNTIF(Funcionarios!$D$2:$D$191,"&gt;=5")&gt;0),(Editavel!$B$17-SUM(Departamentos!$B:$B)-SUM(Funcionarios!$F$2:$F$191))*Editavel!$C$29/COUNTIF(Funcionarios!$D$2:$D$191,"&gt;=5"),0))*IF(Funcionarios!G181&gt;0,Funcionarios!G181/30,1)</f>
        <v>0</v>
      </c>
      <c r="D191" s="5">
        <f>IF(COUNTIF(Funcionarios!$B$2:$B$191,Funcionarios!B181)&gt;0,SUMIFS(Departamentos!$B:$B,Departamentos!$C:$C,Funcionarios!B181)/COUNTIF(Funcionarios!$B$2:$B$191,Funcionarios!B181)*IF(Funcionarios!G181&gt;0,Funcionarios!G181/30,1),0)</f>
        <v>0</v>
      </c>
      <c r="E191" s="5">
        <f>Funcionarios!$F181</f>
        <v>0</v>
      </c>
      <c r="F191" s="5">
        <f>Funcionarios!$E181</f>
        <v>0</v>
      </c>
      <c r="G191" s="5">
        <f t="shared" si="6"/>
        <v>0</v>
      </c>
    </row>
    <row r="192" spans="1:7" x14ac:dyDescent="0.25">
      <c r="A192">
        <f>Funcionarios!A182</f>
        <v>0</v>
      </c>
      <c r="B192">
        <f>Funcionarios!B182</f>
        <v>0</v>
      </c>
      <c r="C192" s="5">
        <f>(IF(AND(Funcionarios!D182&gt;=1,COUNTIF(Funcionarios!$D$2:$D$191,"&gt;=1")&gt;0),(Editavel!$B$17-SUM(Departamentos!$B:$B)-SUM(Funcionarios!$F$2:$F$191))*Editavel!$C$25/COUNTIF(Funcionarios!$D$2:$D$191,"&gt;=1"),0)+IF(AND(Funcionarios!D182&gt;=2,COUNTIF(Funcionarios!$D$2:$D$191,"&gt;=2")&gt;0),(Editavel!$B$17-SUM(Departamentos!$B:$B)-SUM(Funcionarios!$F$2:$F$191))*Editavel!$C$26/COUNTIF(Funcionarios!$D$2:$D$191,"&gt;=2"),0)+IF(AND(Funcionarios!D182&gt;=3,COUNTIF(Funcionarios!$D$2:$D$191,"&gt;=3")&gt;0),(Editavel!$B$17-SUM(Departamentos!$B:$B)-SUM(Funcionarios!$F$2:$F$191))*Editavel!$C$27/COUNTIF(Funcionarios!$D$2:$D$191,"&gt;=3"),0)+IF(AND(Funcionarios!D182&gt;=4,COUNTIF(Funcionarios!$D$2:$D$191,"&gt;=4")&gt;0),(Editavel!$B$17-SUM(Departamentos!$B:$B)-SUM(Funcionarios!$F$2:$F$191))*Editavel!$C$28/COUNTIF(Funcionarios!$D$2:$D$191,"&gt;=4"),0)+IF(AND(Funcionarios!D182&gt;=5,COUNTIF(Funcionarios!$D$2:$D$191,"&gt;=5")&gt;0),(Editavel!$B$17-SUM(Departamentos!$B:$B)-SUM(Funcionarios!$F$2:$F$191))*Editavel!$C$29/COUNTIF(Funcionarios!$D$2:$D$191,"&gt;=5"),0))*IF(Funcionarios!G182&gt;0,Funcionarios!G182/30,1)</f>
        <v>0</v>
      </c>
      <c r="D192" s="5">
        <f>IF(COUNTIF(Funcionarios!$B$2:$B$191,Funcionarios!B182)&gt;0,SUMIFS(Departamentos!$B:$B,Departamentos!$C:$C,Funcionarios!B182)/COUNTIF(Funcionarios!$B$2:$B$191,Funcionarios!B182)*IF(Funcionarios!G182&gt;0,Funcionarios!G182/30,1),0)</f>
        <v>0</v>
      </c>
      <c r="E192" s="5">
        <f>Funcionarios!$F182</f>
        <v>0</v>
      </c>
      <c r="F192" s="5">
        <f>Funcionarios!$E182</f>
        <v>0</v>
      </c>
      <c r="G192" s="5">
        <f t="shared" si="6"/>
        <v>0</v>
      </c>
    </row>
    <row r="193" spans="1:7" x14ac:dyDescent="0.25">
      <c r="A193">
        <f>Funcionarios!A183</f>
        <v>0</v>
      </c>
      <c r="B193">
        <f>Funcionarios!B183</f>
        <v>0</v>
      </c>
      <c r="C193" s="5">
        <f>(IF(AND(Funcionarios!D183&gt;=1,COUNTIF(Funcionarios!$D$2:$D$191,"&gt;=1")&gt;0),(Editavel!$B$17-SUM(Departamentos!$B:$B)-SUM(Funcionarios!$F$2:$F$191))*Editavel!$C$25/COUNTIF(Funcionarios!$D$2:$D$191,"&gt;=1"),0)+IF(AND(Funcionarios!D183&gt;=2,COUNTIF(Funcionarios!$D$2:$D$191,"&gt;=2")&gt;0),(Editavel!$B$17-SUM(Departamentos!$B:$B)-SUM(Funcionarios!$F$2:$F$191))*Editavel!$C$26/COUNTIF(Funcionarios!$D$2:$D$191,"&gt;=2"),0)+IF(AND(Funcionarios!D183&gt;=3,COUNTIF(Funcionarios!$D$2:$D$191,"&gt;=3")&gt;0),(Editavel!$B$17-SUM(Departamentos!$B:$B)-SUM(Funcionarios!$F$2:$F$191))*Editavel!$C$27/COUNTIF(Funcionarios!$D$2:$D$191,"&gt;=3"),0)+IF(AND(Funcionarios!D183&gt;=4,COUNTIF(Funcionarios!$D$2:$D$191,"&gt;=4")&gt;0),(Editavel!$B$17-SUM(Departamentos!$B:$B)-SUM(Funcionarios!$F$2:$F$191))*Editavel!$C$28/COUNTIF(Funcionarios!$D$2:$D$191,"&gt;=4"),0)+IF(AND(Funcionarios!D183&gt;=5,COUNTIF(Funcionarios!$D$2:$D$191,"&gt;=5")&gt;0),(Editavel!$B$17-SUM(Departamentos!$B:$B)-SUM(Funcionarios!$F$2:$F$191))*Editavel!$C$29/COUNTIF(Funcionarios!$D$2:$D$191,"&gt;=5"),0))*IF(Funcionarios!G183&gt;0,Funcionarios!G183/30,1)</f>
        <v>0</v>
      </c>
      <c r="D193" s="5">
        <f>IF(COUNTIF(Funcionarios!$B$2:$B$191,Funcionarios!B183)&gt;0,SUMIFS(Departamentos!$B:$B,Departamentos!$C:$C,Funcionarios!B183)/COUNTIF(Funcionarios!$B$2:$B$191,Funcionarios!B183)*IF(Funcionarios!G183&gt;0,Funcionarios!G183/30,1),0)</f>
        <v>0</v>
      </c>
      <c r="E193" s="5">
        <f>Funcionarios!$F183</f>
        <v>0</v>
      </c>
      <c r="F193" s="5">
        <f>Funcionarios!$E183</f>
        <v>0</v>
      </c>
      <c r="G193" s="5">
        <f t="shared" si="6"/>
        <v>0</v>
      </c>
    </row>
    <row r="194" spans="1:7" x14ac:dyDescent="0.25">
      <c r="A194">
        <f>Funcionarios!A184</f>
        <v>0</v>
      </c>
      <c r="B194">
        <f>Funcionarios!B184</f>
        <v>0</v>
      </c>
      <c r="C194" s="5">
        <f>(IF(AND(Funcionarios!D184&gt;=1,COUNTIF(Funcionarios!$D$2:$D$191,"&gt;=1")&gt;0),(Editavel!$B$17-SUM(Departamentos!$B:$B)-SUM(Funcionarios!$F$2:$F$191))*Editavel!$C$25/COUNTIF(Funcionarios!$D$2:$D$191,"&gt;=1"),0)+IF(AND(Funcionarios!D184&gt;=2,COUNTIF(Funcionarios!$D$2:$D$191,"&gt;=2")&gt;0),(Editavel!$B$17-SUM(Departamentos!$B:$B)-SUM(Funcionarios!$F$2:$F$191))*Editavel!$C$26/COUNTIF(Funcionarios!$D$2:$D$191,"&gt;=2"),0)+IF(AND(Funcionarios!D184&gt;=3,COUNTIF(Funcionarios!$D$2:$D$191,"&gt;=3")&gt;0),(Editavel!$B$17-SUM(Departamentos!$B:$B)-SUM(Funcionarios!$F$2:$F$191))*Editavel!$C$27/COUNTIF(Funcionarios!$D$2:$D$191,"&gt;=3"),0)+IF(AND(Funcionarios!D184&gt;=4,COUNTIF(Funcionarios!$D$2:$D$191,"&gt;=4")&gt;0),(Editavel!$B$17-SUM(Departamentos!$B:$B)-SUM(Funcionarios!$F$2:$F$191))*Editavel!$C$28/COUNTIF(Funcionarios!$D$2:$D$191,"&gt;=4"),0)+IF(AND(Funcionarios!D184&gt;=5,COUNTIF(Funcionarios!$D$2:$D$191,"&gt;=5")&gt;0),(Editavel!$B$17-SUM(Departamentos!$B:$B)-SUM(Funcionarios!$F$2:$F$191))*Editavel!$C$29/COUNTIF(Funcionarios!$D$2:$D$191,"&gt;=5"),0))*IF(Funcionarios!G184&gt;0,Funcionarios!G184/30,1)</f>
        <v>0</v>
      </c>
      <c r="D194" s="5">
        <f>IF(COUNTIF(Funcionarios!$B$2:$B$191,Funcionarios!B184)&gt;0,SUMIFS(Departamentos!$B:$B,Departamentos!$C:$C,Funcionarios!B184)/COUNTIF(Funcionarios!$B$2:$B$191,Funcionarios!B184)*IF(Funcionarios!G184&gt;0,Funcionarios!G184/30,1),0)</f>
        <v>0</v>
      </c>
      <c r="E194" s="5">
        <f>Funcionarios!$F184</f>
        <v>0</v>
      </c>
      <c r="F194" s="5">
        <f>Funcionarios!$E184</f>
        <v>0</v>
      </c>
      <c r="G194" s="5">
        <f t="shared" ref="G194:G202" si="7">MAX(C194+D194+E194-F194,0)</f>
        <v>0</v>
      </c>
    </row>
    <row r="195" spans="1:7" x14ac:dyDescent="0.25">
      <c r="A195">
        <f>Funcionarios!A185</f>
        <v>0</v>
      </c>
      <c r="B195">
        <f>Funcionarios!B185</f>
        <v>0</v>
      </c>
      <c r="C195" s="5">
        <f>(IF(AND(Funcionarios!D185&gt;=1,COUNTIF(Funcionarios!$D$2:$D$191,"&gt;=1")&gt;0),(Editavel!$B$17-SUM(Departamentos!$B:$B)-SUM(Funcionarios!$F$2:$F$191))*Editavel!$C$25/COUNTIF(Funcionarios!$D$2:$D$191,"&gt;=1"),0)+IF(AND(Funcionarios!D185&gt;=2,COUNTIF(Funcionarios!$D$2:$D$191,"&gt;=2")&gt;0),(Editavel!$B$17-SUM(Departamentos!$B:$B)-SUM(Funcionarios!$F$2:$F$191))*Editavel!$C$26/COUNTIF(Funcionarios!$D$2:$D$191,"&gt;=2"),0)+IF(AND(Funcionarios!D185&gt;=3,COUNTIF(Funcionarios!$D$2:$D$191,"&gt;=3")&gt;0),(Editavel!$B$17-SUM(Departamentos!$B:$B)-SUM(Funcionarios!$F$2:$F$191))*Editavel!$C$27/COUNTIF(Funcionarios!$D$2:$D$191,"&gt;=3"),0)+IF(AND(Funcionarios!D185&gt;=4,COUNTIF(Funcionarios!$D$2:$D$191,"&gt;=4")&gt;0),(Editavel!$B$17-SUM(Departamentos!$B:$B)-SUM(Funcionarios!$F$2:$F$191))*Editavel!$C$28/COUNTIF(Funcionarios!$D$2:$D$191,"&gt;=4"),0)+IF(AND(Funcionarios!D185&gt;=5,COUNTIF(Funcionarios!$D$2:$D$191,"&gt;=5")&gt;0),(Editavel!$B$17-SUM(Departamentos!$B:$B)-SUM(Funcionarios!$F$2:$F$191))*Editavel!$C$29/COUNTIF(Funcionarios!$D$2:$D$191,"&gt;=5"),0))*IF(Funcionarios!G185&gt;0,Funcionarios!G185/30,1)</f>
        <v>0</v>
      </c>
      <c r="D195" s="5">
        <f>IF(COUNTIF(Funcionarios!$B$2:$B$191,Funcionarios!B185)&gt;0,SUMIFS(Departamentos!$B:$B,Departamentos!$C:$C,Funcionarios!B185)/COUNTIF(Funcionarios!$B$2:$B$191,Funcionarios!B185)*IF(Funcionarios!G185&gt;0,Funcionarios!G185/30,1),0)</f>
        <v>0</v>
      </c>
      <c r="E195" s="5">
        <f>Funcionarios!$F185</f>
        <v>0</v>
      </c>
      <c r="F195" s="5">
        <f>Funcionarios!$E185</f>
        <v>0</v>
      </c>
      <c r="G195" s="5">
        <f t="shared" si="7"/>
        <v>0</v>
      </c>
    </row>
    <row r="196" spans="1:7" x14ac:dyDescent="0.25">
      <c r="A196">
        <f>Funcionarios!A186</f>
        <v>0</v>
      </c>
      <c r="B196">
        <f>Funcionarios!B186</f>
        <v>0</v>
      </c>
      <c r="C196" s="5">
        <f>(IF(AND(Funcionarios!D186&gt;=1,COUNTIF(Funcionarios!$D$2:$D$191,"&gt;=1")&gt;0),(Editavel!$B$17-SUM(Departamentos!$B:$B)-SUM(Funcionarios!$F$2:$F$191))*Editavel!$C$25/COUNTIF(Funcionarios!$D$2:$D$191,"&gt;=1"),0)+IF(AND(Funcionarios!D186&gt;=2,COUNTIF(Funcionarios!$D$2:$D$191,"&gt;=2")&gt;0),(Editavel!$B$17-SUM(Departamentos!$B:$B)-SUM(Funcionarios!$F$2:$F$191))*Editavel!$C$26/COUNTIF(Funcionarios!$D$2:$D$191,"&gt;=2"),0)+IF(AND(Funcionarios!D186&gt;=3,COUNTIF(Funcionarios!$D$2:$D$191,"&gt;=3")&gt;0),(Editavel!$B$17-SUM(Departamentos!$B:$B)-SUM(Funcionarios!$F$2:$F$191))*Editavel!$C$27/COUNTIF(Funcionarios!$D$2:$D$191,"&gt;=3"),0)+IF(AND(Funcionarios!D186&gt;=4,COUNTIF(Funcionarios!$D$2:$D$191,"&gt;=4")&gt;0),(Editavel!$B$17-SUM(Departamentos!$B:$B)-SUM(Funcionarios!$F$2:$F$191))*Editavel!$C$28/COUNTIF(Funcionarios!$D$2:$D$191,"&gt;=4"),0)+IF(AND(Funcionarios!D186&gt;=5,COUNTIF(Funcionarios!$D$2:$D$191,"&gt;=5")&gt;0),(Editavel!$B$17-SUM(Departamentos!$B:$B)-SUM(Funcionarios!$F$2:$F$191))*Editavel!$C$29/COUNTIF(Funcionarios!$D$2:$D$191,"&gt;=5"),0))*IF(Funcionarios!G186&gt;0,Funcionarios!G186/30,1)</f>
        <v>0</v>
      </c>
      <c r="D196" s="5">
        <f>IF(COUNTIF(Funcionarios!$B$2:$B$191,Funcionarios!B186)&gt;0,SUMIFS(Departamentos!$B:$B,Departamentos!$C:$C,Funcionarios!B186)/COUNTIF(Funcionarios!$B$2:$B$191,Funcionarios!B186)*IF(Funcionarios!G186&gt;0,Funcionarios!G186/30,1),0)</f>
        <v>0</v>
      </c>
      <c r="E196" s="5">
        <f>Funcionarios!$F186</f>
        <v>0</v>
      </c>
      <c r="F196" s="5">
        <f>Funcionarios!$E186</f>
        <v>0</v>
      </c>
      <c r="G196" s="5">
        <f t="shared" si="7"/>
        <v>0</v>
      </c>
    </row>
    <row r="197" spans="1:7" x14ac:dyDescent="0.25">
      <c r="A197">
        <f>Funcionarios!A187</f>
        <v>0</v>
      </c>
      <c r="B197">
        <f>Funcionarios!B187</f>
        <v>0</v>
      </c>
      <c r="C197" s="5">
        <f>(IF(AND(Funcionarios!D187&gt;=1,COUNTIF(Funcionarios!$D$2:$D$191,"&gt;=1")&gt;0),(Editavel!$B$17-SUM(Departamentos!$B:$B)-SUM(Funcionarios!$F$2:$F$191))*Editavel!$C$25/COUNTIF(Funcionarios!$D$2:$D$191,"&gt;=1"),0)+IF(AND(Funcionarios!D187&gt;=2,COUNTIF(Funcionarios!$D$2:$D$191,"&gt;=2")&gt;0),(Editavel!$B$17-SUM(Departamentos!$B:$B)-SUM(Funcionarios!$F$2:$F$191))*Editavel!$C$26/COUNTIF(Funcionarios!$D$2:$D$191,"&gt;=2"),0)+IF(AND(Funcionarios!D187&gt;=3,COUNTIF(Funcionarios!$D$2:$D$191,"&gt;=3")&gt;0),(Editavel!$B$17-SUM(Departamentos!$B:$B)-SUM(Funcionarios!$F$2:$F$191))*Editavel!$C$27/COUNTIF(Funcionarios!$D$2:$D$191,"&gt;=3"),0)+IF(AND(Funcionarios!D187&gt;=4,COUNTIF(Funcionarios!$D$2:$D$191,"&gt;=4")&gt;0),(Editavel!$B$17-SUM(Departamentos!$B:$B)-SUM(Funcionarios!$F$2:$F$191))*Editavel!$C$28/COUNTIF(Funcionarios!$D$2:$D$191,"&gt;=4"),0)+IF(AND(Funcionarios!D187&gt;=5,COUNTIF(Funcionarios!$D$2:$D$191,"&gt;=5")&gt;0),(Editavel!$B$17-SUM(Departamentos!$B:$B)-SUM(Funcionarios!$F$2:$F$191))*Editavel!$C$29/COUNTIF(Funcionarios!$D$2:$D$191,"&gt;=5"),0))*IF(Funcionarios!G187&gt;0,Funcionarios!G187/30,1)</f>
        <v>0</v>
      </c>
      <c r="D197" s="5">
        <f>IF(COUNTIF(Funcionarios!$B$2:$B$191,Funcionarios!B187)&gt;0,SUMIFS(Departamentos!$B:$B,Departamentos!$C:$C,Funcionarios!B187)/COUNTIF(Funcionarios!$B$2:$B$191,Funcionarios!B187)*IF(Funcionarios!G187&gt;0,Funcionarios!G187/30,1),0)</f>
        <v>0</v>
      </c>
      <c r="E197" s="5">
        <f>Funcionarios!$F187</f>
        <v>0</v>
      </c>
      <c r="F197" s="5">
        <f>Funcionarios!$E187</f>
        <v>0</v>
      </c>
      <c r="G197" s="5">
        <f t="shared" si="7"/>
        <v>0</v>
      </c>
    </row>
    <row r="198" spans="1:7" x14ac:dyDescent="0.25">
      <c r="A198">
        <f>Funcionarios!A188</f>
        <v>0</v>
      </c>
      <c r="B198">
        <f>Funcionarios!B188</f>
        <v>0</v>
      </c>
      <c r="C198" s="5">
        <f>(IF(AND(Funcionarios!D188&gt;=1,COUNTIF(Funcionarios!$D$2:$D$191,"&gt;=1")&gt;0),(Editavel!$B$17-SUM(Departamentos!$B:$B)-SUM(Funcionarios!$F$2:$F$191))*Editavel!$C$25/COUNTIF(Funcionarios!$D$2:$D$191,"&gt;=1"),0)+IF(AND(Funcionarios!D188&gt;=2,COUNTIF(Funcionarios!$D$2:$D$191,"&gt;=2")&gt;0),(Editavel!$B$17-SUM(Departamentos!$B:$B)-SUM(Funcionarios!$F$2:$F$191))*Editavel!$C$26/COUNTIF(Funcionarios!$D$2:$D$191,"&gt;=2"),0)+IF(AND(Funcionarios!D188&gt;=3,COUNTIF(Funcionarios!$D$2:$D$191,"&gt;=3")&gt;0),(Editavel!$B$17-SUM(Departamentos!$B:$B)-SUM(Funcionarios!$F$2:$F$191))*Editavel!$C$27/COUNTIF(Funcionarios!$D$2:$D$191,"&gt;=3"),0)+IF(AND(Funcionarios!D188&gt;=4,COUNTIF(Funcionarios!$D$2:$D$191,"&gt;=4")&gt;0),(Editavel!$B$17-SUM(Departamentos!$B:$B)-SUM(Funcionarios!$F$2:$F$191))*Editavel!$C$28/COUNTIF(Funcionarios!$D$2:$D$191,"&gt;=4"),0)+IF(AND(Funcionarios!D188&gt;=5,COUNTIF(Funcionarios!$D$2:$D$191,"&gt;=5")&gt;0),(Editavel!$B$17-SUM(Departamentos!$B:$B)-SUM(Funcionarios!$F$2:$F$191))*Editavel!$C$29/COUNTIF(Funcionarios!$D$2:$D$191,"&gt;=5"),0))*IF(Funcionarios!G188&gt;0,Funcionarios!G188/30,1)</f>
        <v>0</v>
      </c>
      <c r="D198" s="5">
        <f>IF(COUNTIF(Funcionarios!$B$2:$B$191,Funcionarios!B188)&gt;0,SUMIFS(Departamentos!$B:$B,Departamentos!$C:$C,Funcionarios!B188)/COUNTIF(Funcionarios!$B$2:$B$191,Funcionarios!B188)*IF(Funcionarios!G188&gt;0,Funcionarios!G188/30,1),0)</f>
        <v>0</v>
      </c>
      <c r="E198" s="5">
        <f>Funcionarios!$F188</f>
        <v>0</v>
      </c>
      <c r="F198" s="5">
        <f>Funcionarios!$E188</f>
        <v>0</v>
      </c>
      <c r="G198" s="5">
        <f t="shared" si="7"/>
        <v>0</v>
      </c>
    </row>
    <row r="199" spans="1:7" x14ac:dyDescent="0.25">
      <c r="A199">
        <f>Funcionarios!A189</f>
        <v>0</v>
      </c>
      <c r="B199">
        <f>Funcionarios!B189</f>
        <v>0</v>
      </c>
      <c r="C199" s="5">
        <f>(IF(AND(Funcionarios!D189&gt;=1,COUNTIF(Funcionarios!$D$2:$D$191,"&gt;=1")&gt;0),(Editavel!$B$17-SUM(Departamentos!$B:$B)-SUM(Funcionarios!$F$2:$F$191))*Editavel!$C$25/COUNTIF(Funcionarios!$D$2:$D$191,"&gt;=1"),0)+IF(AND(Funcionarios!D189&gt;=2,COUNTIF(Funcionarios!$D$2:$D$191,"&gt;=2")&gt;0),(Editavel!$B$17-SUM(Departamentos!$B:$B)-SUM(Funcionarios!$F$2:$F$191))*Editavel!$C$26/COUNTIF(Funcionarios!$D$2:$D$191,"&gt;=2"),0)+IF(AND(Funcionarios!D189&gt;=3,COUNTIF(Funcionarios!$D$2:$D$191,"&gt;=3")&gt;0),(Editavel!$B$17-SUM(Departamentos!$B:$B)-SUM(Funcionarios!$F$2:$F$191))*Editavel!$C$27/COUNTIF(Funcionarios!$D$2:$D$191,"&gt;=3"),0)+IF(AND(Funcionarios!D189&gt;=4,COUNTIF(Funcionarios!$D$2:$D$191,"&gt;=4")&gt;0),(Editavel!$B$17-SUM(Departamentos!$B:$B)-SUM(Funcionarios!$F$2:$F$191))*Editavel!$C$28/COUNTIF(Funcionarios!$D$2:$D$191,"&gt;=4"),0)+IF(AND(Funcionarios!D189&gt;=5,COUNTIF(Funcionarios!$D$2:$D$191,"&gt;=5")&gt;0),(Editavel!$B$17-SUM(Departamentos!$B:$B)-SUM(Funcionarios!$F$2:$F$191))*Editavel!$C$29/COUNTIF(Funcionarios!$D$2:$D$191,"&gt;=5"),0))*IF(Funcionarios!G189&gt;0,Funcionarios!G189/30,1)</f>
        <v>0</v>
      </c>
      <c r="D199" s="5">
        <f>IF(COUNTIF(Funcionarios!$B$2:$B$191,Funcionarios!B189)&gt;0,SUMIFS(Departamentos!$B:$B,Departamentos!$C:$C,Funcionarios!B189)/COUNTIF(Funcionarios!$B$2:$B$191,Funcionarios!B189)*IF(Funcionarios!G189&gt;0,Funcionarios!G189/30,1),0)</f>
        <v>0</v>
      </c>
      <c r="E199" s="5">
        <f>Funcionarios!$F189</f>
        <v>0</v>
      </c>
      <c r="F199" s="5">
        <f>Funcionarios!$E189</f>
        <v>0</v>
      </c>
      <c r="G199" s="5">
        <f t="shared" si="7"/>
        <v>0</v>
      </c>
    </row>
    <row r="200" spans="1:7" x14ac:dyDescent="0.25">
      <c r="A200">
        <f>Funcionarios!A190</f>
        <v>0</v>
      </c>
      <c r="B200">
        <f>Funcionarios!B190</f>
        <v>0</v>
      </c>
      <c r="C200" s="5">
        <f>(IF(AND(Funcionarios!D190&gt;=1,COUNTIF(Funcionarios!$D$2:$D$191,"&gt;=1")&gt;0),(Editavel!$B$17-SUM(Departamentos!$B:$B)-SUM(Funcionarios!$F$2:$F$191))*Editavel!$C$25/COUNTIF(Funcionarios!$D$2:$D$191,"&gt;=1"),0)+IF(AND(Funcionarios!D190&gt;=2,COUNTIF(Funcionarios!$D$2:$D$191,"&gt;=2")&gt;0),(Editavel!$B$17-SUM(Departamentos!$B:$B)-SUM(Funcionarios!$F$2:$F$191))*Editavel!$C$26/COUNTIF(Funcionarios!$D$2:$D$191,"&gt;=2"),0)+IF(AND(Funcionarios!D190&gt;=3,COUNTIF(Funcionarios!$D$2:$D$191,"&gt;=3")&gt;0),(Editavel!$B$17-SUM(Departamentos!$B:$B)-SUM(Funcionarios!$F$2:$F$191))*Editavel!$C$27/COUNTIF(Funcionarios!$D$2:$D$191,"&gt;=3"),0)+IF(AND(Funcionarios!D190&gt;=4,COUNTIF(Funcionarios!$D$2:$D$191,"&gt;=4")&gt;0),(Editavel!$B$17-SUM(Departamentos!$B:$B)-SUM(Funcionarios!$F$2:$F$191))*Editavel!$C$28/COUNTIF(Funcionarios!$D$2:$D$191,"&gt;=4"),0)+IF(AND(Funcionarios!D190&gt;=5,COUNTIF(Funcionarios!$D$2:$D$191,"&gt;=5")&gt;0),(Editavel!$B$17-SUM(Departamentos!$B:$B)-SUM(Funcionarios!$F$2:$F$191))*Editavel!$C$29/COUNTIF(Funcionarios!$D$2:$D$191,"&gt;=5"),0))*IF(Funcionarios!G190&gt;0,Funcionarios!G190/30,1)</f>
        <v>0</v>
      </c>
      <c r="D200" s="5">
        <f>IF(COUNTIF(Funcionarios!$B$2:$B$191,Funcionarios!B190)&gt;0,SUMIFS(Departamentos!$B:$B,Departamentos!$C:$C,Funcionarios!B190)/COUNTIF(Funcionarios!$B$2:$B$191,Funcionarios!B190)*IF(Funcionarios!G190&gt;0,Funcionarios!G190/30,1),0)</f>
        <v>0</v>
      </c>
      <c r="E200" s="5">
        <f>Funcionarios!$F190</f>
        <v>0</v>
      </c>
      <c r="F200" s="5">
        <f>Funcionarios!$E190</f>
        <v>0</v>
      </c>
      <c r="G200" s="5">
        <f t="shared" si="7"/>
        <v>0</v>
      </c>
    </row>
    <row r="201" spans="1:7" x14ac:dyDescent="0.25">
      <c r="A201">
        <f>Funcionarios!A191</f>
        <v>0</v>
      </c>
      <c r="B201">
        <f>Funcionarios!B191</f>
        <v>0</v>
      </c>
      <c r="C201" s="5">
        <f>(IF(AND(Funcionarios!D191&gt;=1,COUNTIF(Funcionarios!$D$2:$D$191,"&gt;=1")&gt;0),(Editavel!$B$17-SUM(Departamentos!$B:$B)-SUM(Funcionarios!$F$2:$F$191))*Editavel!$C$25/COUNTIF(Funcionarios!$D$2:$D$191,"&gt;=1"),0)+IF(AND(Funcionarios!D191&gt;=2,COUNTIF(Funcionarios!$D$2:$D$191,"&gt;=2")&gt;0),(Editavel!$B$17-SUM(Departamentos!$B:$B)-SUM(Funcionarios!$F$2:$F$191))*Editavel!$C$26/COUNTIF(Funcionarios!$D$2:$D$191,"&gt;=2"),0)+IF(AND(Funcionarios!D191&gt;=3,COUNTIF(Funcionarios!$D$2:$D$191,"&gt;=3")&gt;0),(Editavel!$B$17-SUM(Departamentos!$B:$B)-SUM(Funcionarios!$F$2:$F$191))*Editavel!$C$27/COUNTIF(Funcionarios!$D$2:$D$191,"&gt;=3"),0)+IF(AND(Funcionarios!D191&gt;=4,COUNTIF(Funcionarios!$D$2:$D$191,"&gt;=4")&gt;0),(Editavel!$B$17-SUM(Departamentos!$B:$B)-SUM(Funcionarios!$F$2:$F$191))*Editavel!$C$28/COUNTIF(Funcionarios!$D$2:$D$191,"&gt;=4"),0)+IF(AND(Funcionarios!D191&gt;=5,COUNTIF(Funcionarios!$D$2:$D$191,"&gt;=5")&gt;0),(Editavel!$B$17-SUM(Departamentos!$B:$B)-SUM(Funcionarios!$F$2:$F$191))*Editavel!$C$29/COUNTIF(Funcionarios!$D$2:$D$191,"&gt;=5"),0))*IF(Funcionarios!G191&gt;0,Funcionarios!G191/30,1)</f>
        <v>0</v>
      </c>
      <c r="D201" s="5">
        <f>IF(COUNTIF(Funcionarios!$B$2:$B$191,Funcionarios!B191)&gt;0,SUMIFS(Departamentos!$B:$B,Departamentos!$C:$C,Funcionarios!B191)/COUNTIF(Funcionarios!$B$2:$B$191,Funcionarios!B191)*IF(Funcionarios!G191&gt;0,Funcionarios!G191/30,1),0)</f>
        <v>0</v>
      </c>
      <c r="E201" s="5">
        <f>Funcionarios!$F191</f>
        <v>0</v>
      </c>
      <c r="F201" s="5">
        <f>Funcionarios!$E191</f>
        <v>0</v>
      </c>
      <c r="G201" s="5">
        <f t="shared" si="7"/>
        <v>0</v>
      </c>
    </row>
    <row r="202" spans="1:7" x14ac:dyDescent="0.25">
      <c r="A202">
        <f>Funcionarios!A192</f>
        <v>0</v>
      </c>
      <c r="B202">
        <f>Funcionarios!B192</f>
        <v>0</v>
      </c>
      <c r="C202" s="5">
        <f>(IF(AND(Funcionarios!D192&gt;=1,COUNTIF(Funcionarios!$D$2:$D$191,"&gt;=1")&gt;0),(Editavel!$B$17-SUM(Departamentos!$B:$B)-SUM(Funcionarios!$F$2:$F$191))*Editavel!$C$25/COUNTIF(Funcionarios!$D$2:$D$191,"&gt;=1"),0)+IF(AND(Funcionarios!D192&gt;=2,COUNTIF(Funcionarios!$D$2:$D$191,"&gt;=2")&gt;0),(Editavel!$B$17-SUM(Departamentos!$B:$B)-SUM(Funcionarios!$F$2:$F$191))*Editavel!$C$26/COUNTIF(Funcionarios!$D$2:$D$191,"&gt;=2"),0)+IF(AND(Funcionarios!D192&gt;=3,COUNTIF(Funcionarios!$D$2:$D$191,"&gt;=3")&gt;0),(Editavel!$B$17-SUM(Departamentos!$B:$B)-SUM(Funcionarios!$F$2:$F$191))*Editavel!$C$27/COUNTIF(Funcionarios!$D$2:$D$191,"&gt;=3"),0)+IF(AND(Funcionarios!D192&gt;=4,COUNTIF(Funcionarios!$D$2:$D$191,"&gt;=4")&gt;0),(Editavel!$B$17-SUM(Departamentos!$B:$B)-SUM(Funcionarios!$F$2:$F$191))*Editavel!$C$28/COUNTIF(Funcionarios!$D$2:$D$191,"&gt;=4"),0)+IF(AND(Funcionarios!D192&gt;=5,COUNTIF(Funcionarios!$D$2:$D$191,"&gt;=5")&gt;0),(Editavel!$B$17-SUM(Departamentos!$B:$B)-SUM(Funcionarios!$F$2:$F$191))*Editavel!$C$29/COUNTIF(Funcionarios!$D$2:$D$191,"&gt;=5"),0))*IF(Funcionarios!G192&gt;0,Funcionarios!G192/30,1)</f>
        <v>0</v>
      </c>
      <c r="D202" s="5">
        <f>IF(COUNTIF(Funcionarios!$B$2:$B$191,Funcionarios!B192)&gt;0,SUMIFS(Departamentos!$B:$B,Departamentos!$C:$C,Funcionarios!B192)/COUNTIF(Funcionarios!$B$2:$B$191,Funcionarios!B192)*IF(Funcionarios!G192&gt;0,Funcionarios!G192/30,1),0)</f>
        <v>0</v>
      </c>
      <c r="E202" s="5">
        <f>Funcionarios!$F192</f>
        <v>0</v>
      </c>
      <c r="F202" s="5">
        <f>Funcionarios!$E192</f>
        <v>0</v>
      </c>
      <c r="G202" s="5">
        <f t="shared" si="7"/>
        <v>0</v>
      </c>
    </row>
  </sheetData>
  <conditionalFormatting sqref="A2:G202">
    <cfRule type="expression" dxfId="0" priority="1">
      <formula>MOD(ROW(),2)=0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Editavel</vt:lpstr>
      <vt:lpstr>Funcionarios</vt:lpstr>
      <vt:lpstr>Departamentos</vt:lpstr>
      <vt:lpstr>Distribuicao</vt:lpstr>
      <vt:lpstr>Editavel!Area_de_impressao</vt:lpstr>
      <vt:lpstr>ListaDepartamentos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Hotel Almareia</cp:lastModifiedBy>
  <dcterms:created xsi:type="dcterms:W3CDTF">2025-12-17T22:57:27Z</dcterms:created>
  <dcterms:modified xsi:type="dcterms:W3CDTF">2026-01-08T18:26:12Z</dcterms:modified>
</cp:coreProperties>
</file>